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aniceto\Dropbox\UA Universidade Aveiro\NOVARROZ\"/>
    </mc:Choice>
  </mc:AlternateContent>
  <xr:revisionPtr revIDLastSave="0" documentId="13_ncr:1_{A5D6AEFE-CF6A-47E0-902C-86B0E9C43FD6}" xr6:coauthVersionLast="36" xr6:coauthVersionMax="36" xr10:uidLastSave="{00000000-0000-0000-0000-000000000000}"/>
  <bookViews>
    <workbookView xWindow="0" yWindow="0" windowWidth="28800" windowHeight="12225" xr2:uid="{7FB9ED8E-23AA-458F-99E9-D76B3C6C3DB2}"/>
  </bookViews>
  <sheets>
    <sheet name="Info" sheetId="4" r:id="rId1"/>
    <sheet name="Psychrometrics" sheetId="3" r:id="rId2"/>
    <sheet name="Psychrometric Chart" sheetId="6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" l="1"/>
  <c r="D5" i="3"/>
  <c r="E5" i="3"/>
  <c r="F5" i="3"/>
  <c r="G5" i="3"/>
  <c r="H5" i="3"/>
  <c r="I5" i="3"/>
  <c r="J5" i="3"/>
  <c r="K5" i="3"/>
  <c r="C5" i="3"/>
  <c r="Z5" i="3"/>
  <c r="AA5" i="3"/>
  <c r="AB5" i="3"/>
  <c r="AC5" i="3"/>
  <c r="Y5" i="3"/>
  <c r="Y13" i="3"/>
  <c r="Y19" i="3"/>
  <c r="Y25" i="3"/>
  <c r="Y31" i="3"/>
  <c r="Y37" i="3"/>
  <c r="Z38" i="3"/>
  <c r="Y43" i="3"/>
  <c r="Z44" i="3"/>
  <c r="Y49" i="3"/>
  <c r="Z50" i="3"/>
  <c r="Y55" i="3"/>
  <c r="Z56" i="3"/>
  <c r="AA57" i="3"/>
  <c r="Y61" i="3"/>
  <c r="Z62" i="3"/>
  <c r="AA63" i="3"/>
  <c r="AB64" i="3"/>
  <c r="Y67" i="3"/>
  <c r="Z68" i="3"/>
  <c r="AA69" i="3"/>
  <c r="AB70" i="3"/>
  <c r="AC71" i="3"/>
  <c r="Y73" i="3"/>
  <c r="Z74" i="3"/>
  <c r="AA75" i="3"/>
  <c r="AB76" i="3"/>
  <c r="AC77" i="3"/>
  <c r="Y79" i="3"/>
  <c r="Z80" i="3"/>
  <c r="AA81" i="3"/>
  <c r="AB82" i="3"/>
  <c r="AC83" i="3"/>
  <c r="Y85" i="3"/>
  <c r="Z86" i="3"/>
  <c r="AA87" i="3"/>
  <c r="AB88" i="3"/>
  <c r="AC89" i="3"/>
  <c r="Y91" i="3"/>
  <c r="Z92" i="3"/>
  <c r="AA93" i="3"/>
  <c r="AB94" i="3"/>
  <c r="AC95" i="3"/>
  <c r="Z61" i="3"/>
  <c r="AA68" i="3"/>
  <c r="Z73" i="3"/>
  <c r="AA74" i="3"/>
  <c r="AC76" i="3"/>
  <c r="Z79" i="3"/>
  <c r="AC82" i="3"/>
  <c r="Y84" i="3"/>
  <c r="AA86" i="3"/>
  <c r="AB87" i="3"/>
  <c r="Y90" i="3"/>
  <c r="Z91" i="3"/>
  <c r="AB93" i="3"/>
  <c r="Y96" i="3"/>
  <c r="Y95" i="3"/>
  <c r="Z89" i="3"/>
  <c r="Z95" i="3"/>
  <c r="Y50" i="3"/>
  <c r="Z57" i="3"/>
  <c r="Y62" i="3"/>
  <c r="Y68" i="3"/>
  <c r="Y74" i="3"/>
  <c r="AC78" i="3"/>
  <c r="AC84" i="3"/>
  <c r="Z93" i="3"/>
  <c r="Y18" i="3"/>
  <c r="Y24" i="3"/>
  <c r="Y30" i="3"/>
  <c r="Y36" i="3"/>
  <c r="Y42" i="3"/>
  <c r="Z43" i="3"/>
  <c r="Y48" i="3"/>
  <c r="Z49" i="3"/>
  <c r="Y54" i="3"/>
  <c r="Z55" i="3"/>
  <c r="AA56" i="3"/>
  <c r="Y60" i="3"/>
  <c r="AA62" i="3"/>
  <c r="AB63" i="3"/>
  <c r="Y66" i="3"/>
  <c r="Z67" i="3"/>
  <c r="AB69" i="3"/>
  <c r="Y72" i="3"/>
  <c r="AB75" i="3"/>
  <c r="Y78" i="3"/>
  <c r="AA80" i="3"/>
  <c r="AB81" i="3"/>
  <c r="Z85" i="3"/>
  <c r="AC88" i="3"/>
  <c r="AA92" i="3"/>
  <c r="AC94" i="3"/>
  <c r="AC86" i="3"/>
  <c r="AC92" i="3"/>
  <c r="AA96" i="3"/>
  <c r="AA64" i="3"/>
  <c r="AA70" i="3"/>
  <c r="AA76" i="3"/>
  <c r="AB83" i="3"/>
  <c r="AA88" i="3"/>
  <c r="Y92" i="3"/>
  <c r="AC96" i="3"/>
  <c r="Y17" i="3"/>
  <c r="Y23" i="3"/>
  <c r="Y29" i="3"/>
  <c r="Y35" i="3"/>
  <c r="Y41" i="3"/>
  <c r="Z42" i="3"/>
  <c r="Y47" i="3"/>
  <c r="Z48" i="3"/>
  <c r="Y53" i="3"/>
  <c r="Z54" i="3"/>
  <c r="AA55" i="3"/>
  <c r="Y59" i="3"/>
  <c r="Z60" i="3"/>
  <c r="AA61" i="3"/>
  <c r="AB62" i="3"/>
  <c r="Y65" i="3"/>
  <c r="Z66" i="3"/>
  <c r="AA67" i="3"/>
  <c r="AB68" i="3"/>
  <c r="Y71" i="3"/>
  <c r="Z72" i="3"/>
  <c r="AA73" i="3"/>
  <c r="AB74" i="3"/>
  <c r="AC75" i="3"/>
  <c r="Y77" i="3"/>
  <c r="Z78" i="3"/>
  <c r="AA79" i="3"/>
  <c r="AB80" i="3"/>
  <c r="AC81" i="3"/>
  <c r="Y83" i="3"/>
  <c r="Z84" i="3"/>
  <c r="AA85" i="3"/>
  <c r="AB86" i="3"/>
  <c r="AC87" i="3"/>
  <c r="Y89" i="3"/>
  <c r="Z90" i="3"/>
  <c r="AA91" i="3"/>
  <c r="AB92" i="3"/>
  <c r="AC93" i="3"/>
  <c r="Z96" i="3"/>
  <c r="AB91" i="3"/>
  <c r="Y32" i="3"/>
  <c r="AB65" i="3"/>
  <c r="Z69" i="3"/>
  <c r="Z75" i="3"/>
  <c r="Z81" i="3"/>
  <c r="AB89" i="3"/>
  <c r="AB95" i="3"/>
  <c r="Y16" i="3"/>
  <c r="Y22" i="3"/>
  <c r="Y28" i="3"/>
  <c r="Y34" i="3"/>
  <c r="Y40" i="3"/>
  <c r="Z41" i="3"/>
  <c r="Y46" i="3"/>
  <c r="Z47" i="3"/>
  <c r="Y52" i="3"/>
  <c r="Z53" i="3"/>
  <c r="AA54" i="3"/>
  <c r="Y58" i="3"/>
  <c r="Z59" i="3"/>
  <c r="AA60" i="3"/>
  <c r="Y64" i="3"/>
  <c r="Z65" i="3"/>
  <c r="AA66" i="3"/>
  <c r="AB67" i="3"/>
  <c r="Y70" i="3"/>
  <c r="Z71" i="3"/>
  <c r="AA72" i="3"/>
  <c r="AB73" i="3"/>
  <c r="AC74" i="3"/>
  <c r="Y76" i="3"/>
  <c r="Z77" i="3"/>
  <c r="AA78" i="3"/>
  <c r="AB79" i="3"/>
  <c r="AC80" i="3"/>
  <c r="Y82" i="3"/>
  <c r="Z83" i="3"/>
  <c r="AA84" i="3"/>
  <c r="AB85" i="3"/>
  <c r="Y88" i="3"/>
  <c r="AA90" i="3"/>
  <c r="Y94" i="3"/>
  <c r="Y56" i="3"/>
  <c r="Z63" i="3"/>
  <c r="AB71" i="3"/>
  <c r="AB77" i="3"/>
  <c r="AA82" i="3"/>
  <c r="Y86" i="3"/>
  <c r="AC90" i="3"/>
  <c r="Y15" i="3"/>
  <c r="Y21" i="3"/>
  <c r="Y27" i="3"/>
  <c r="Y33" i="3"/>
  <c r="Y39" i="3"/>
  <c r="Z40" i="3"/>
  <c r="Y45" i="3"/>
  <c r="Z46" i="3"/>
  <c r="Y51" i="3"/>
  <c r="Z52" i="3"/>
  <c r="AA53" i="3"/>
  <c r="Y57" i="3"/>
  <c r="Z58" i="3"/>
  <c r="AA59" i="3"/>
  <c r="Y63" i="3"/>
  <c r="Z64" i="3"/>
  <c r="AA65" i="3"/>
  <c r="AB66" i="3"/>
  <c r="Y69" i="3"/>
  <c r="Z70" i="3"/>
  <c r="AA71" i="3"/>
  <c r="AB72" i="3"/>
  <c r="AC73" i="3"/>
  <c r="Y75" i="3"/>
  <c r="Z76" i="3"/>
  <c r="AA77" i="3"/>
  <c r="AB78" i="3"/>
  <c r="AC79" i="3"/>
  <c r="Y81" i="3"/>
  <c r="Z82" i="3"/>
  <c r="AA83" i="3"/>
  <c r="AB84" i="3"/>
  <c r="AC85" i="3"/>
  <c r="Y87" i="3"/>
  <c r="Z88" i="3"/>
  <c r="AA89" i="3"/>
  <c r="AB90" i="3"/>
  <c r="AC91" i="3"/>
  <c r="Y93" i="3"/>
  <c r="Z94" i="3"/>
  <c r="AA95" i="3"/>
  <c r="AB96" i="3"/>
  <c r="Y14" i="3"/>
  <c r="Y20" i="3"/>
  <c r="Y26" i="3"/>
  <c r="Y38" i="3"/>
  <c r="Z39" i="3"/>
  <c r="Y44" i="3"/>
  <c r="Z45" i="3"/>
  <c r="Z51" i="3"/>
  <c r="AA52" i="3"/>
  <c r="AA58" i="3"/>
  <c r="AC72" i="3"/>
  <c r="Y80" i="3"/>
  <c r="Z87" i="3"/>
  <c r="AA94" i="3"/>
  <c r="R7" i="3"/>
  <c r="X7" i="3"/>
  <c r="W8" i="3"/>
  <c r="V9" i="3"/>
  <c r="U10" i="3"/>
  <c r="T11" i="3"/>
  <c r="S12" i="3"/>
  <c r="R13" i="3"/>
  <c r="X13" i="3"/>
  <c r="W14" i="3"/>
  <c r="V15" i="3"/>
  <c r="U16" i="3"/>
  <c r="T17" i="3"/>
  <c r="S18" i="3"/>
  <c r="R19" i="3"/>
  <c r="X19" i="3"/>
  <c r="W20" i="3"/>
  <c r="V21" i="3"/>
  <c r="U22" i="3"/>
  <c r="T23" i="3"/>
  <c r="S24" i="3"/>
  <c r="R25" i="3"/>
  <c r="X25" i="3"/>
  <c r="W26" i="3"/>
  <c r="V27" i="3"/>
  <c r="U28" i="3"/>
  <c r="T29" i="3"/>
  <c r="S30" i="3"/>
  <c r="R31" i="3"/>
  <c r="X31" i="3"/>
  <c r="W32" i="3"/>
  <c r="V33" i="3"/>
  <c r="U34" i="3"/>
  <c r="T35" i="3"/>
  <c r="S36" i="3"/>
  <c r="R37" i="3"/>
  <c r="X37" i="3"/>
  <c r="W38" i="3"/>
  <c r="V39" i="3"/>
  <c r="U40" i="3"/>
  <c r="T41" i="3"/>
  <c r="S42" i="3"/>
  <c r="R43" i="3"/>
  <c r="X43" i="3"/>
  <c r="W44" i="3"/>
  <c r="V45" i="3"/>
  <c r="U46" i="3"/>
  <c r="T47" i="3"/>
  <c r="S48" i="3"/>
  <c r="R49" i="3"/>
  <c r="X49" i="3"/>
  <c r="W50" i="3"/>
  <c r="V51" i="3"/>
  <c r="U52" i="3"/>
  <c r="T53" i="3"/>
  <c r="S54" i="3"/>
  <c r="R55" i="3"/>
  <c r="X55" i="3"/>
  <c r="W56" i="3"/>
  <c r="V57" i="3"/>
  <c r="U58" i="3"/>
  <c r="T59" i="3"/>
  <c r="S60" i="3"/>
  <c r="R61" i="3"/>
  <c r="X61" i="3"/>
  <c r="W62" i="3"/>
  <c r="V63" i="3"/>
  <c r="U64" i="3"/>
  <c r="T65" i="3"/>
  <c r="S66" i="3"/>
  <c r="R67" i="3"/>
  <c r="X67" i="3"/>
  <c r="W68" i="3"/>
  <c r="V69" i="3"/>
  <c r="U70" i="3"/>
  <c r="T71" i="3"/>
  <c r="S72" i="3"/>
  <c r="R73" i="3"/>
  <c r="X73" i="3"/>
  <c r="W74" i="3"/>
  <c r="V75" i="3"/>
  <c r="U76" i="3"/>
  <c r="T77" i="3"/>
  <c r="S78" i="3"/>
  <c r="R79" i="3"/>
  <c r="X79" i="3"/>
  <c r="S7" i="3"/>
  <c r="R8" i="3"/>
  <c r="X8" i="3"/>
  <c r="W9" i="3"/>
  <c r="V10" i="3"/>
  <c r="U11" i="3"/>
  <c r="T12" i="3"/>
  <c r="S13" i="3"/>
  <c r="R14" i="3"/>
  <c r="X14" i="3"/>
  <c r="W15" i="3"/>
  <c r="V16" i="3"/>
  <c r="U17" i="3"/>
  <c r="T18" i="3"/>
  <c r="S19" i="3"/>
  <c r="R20" i="3"/>
  <c r="X20" i="3"/>
  <c r="W21" i="3"/>
  <c r="V22" i="3"/>
  <c r="U23" i="3"/>
  <c r="T24" i="3"/>
  <c r="S25" i="3"/>
  <c r="R26" i="3"/>
  <c r="X26" i="3"/>
  <c r="W27" i="3"/>
  <c r="V28" i="3"/>
  <c r="U29" i="3"/>
  <c r="T30" i="3"/>
  <c r="S31" i="3"/>
  <c r="R32" i="3"/>
  <c r="X32" i="3"/>
  <c r="W33" i="3"/>
  <c r="V34" i="3"/>
  <c r="U35" i="3"/>
  <c r="T36" i="3"/>
  <c r="S37" i="3"/>
  <c r="R38" i="3"/>
  <c r="X38" i="3"/>
  <c r="W39" i="3"/>
  <c r="T7" i="3"/>
  <c r="S8" i="3"/>
  <c r="R9" i="3"/>
  <c r="X9" i="3"/>
  <c r="W10" i="3"/>
  <c r="V11" i="3"/>
  <c r="U12" i="3"/>
  <c r="T13" i="3"/>
  <c r="S14" i="3"/>
  <c r="R15" i="3"/>
  <c r="X15" i="3"/>
  <c r="W16" i="3"/>
  <c r="V17" i="3"/>
  <c r="U18" i="3"/>
  <c r="T19" i="3"/>
  <c r="S20" i="3"/>
  <c r="R21" i="3"/>
  <c r="X21" i="3"/>
  <c r="W22" i="3"/>
  <c r="V23" i="3"/>
  <c r="U24" i="3"/>
  <c r="T25" i="3"/>
  <c r="S26" i="3"/>
  <c r="R27" i="3"/>
  <c r="X27" i="3"/>
  <c r="W28" i="3"/>
  <c r="V29" i="3"/>
  <c r="U30" i="3"/>
  <c r="T31" i="3"/>
  <c r="S32" i="3"/>
  <c r="R33" i="3"/>
  <c r="X33" i="3"/>
  <c r="W34" i="3"/>
  <c r="V35" i="3"/>
  <c r="U36" i="3"/>
  <c r="T37" i="3"/>
  <c r="S38" i="3"/>
  <c r="R39" i="3"/>
  <c r="X39" i="3"/>
  <c r="W40" i="3"/>
  <c r="V41" i="3"/>
  <c r="U42" i="3"/>
  <c r="T43" i="3"/>
  <c r="S44" i="3"/>
  <c r="R45" i="3"/>
  <c r="X45" i="3"/>
  <c r="W46" i="3"/>
  <c r="V47" i="3"/>
  <c r="U48" i="3"/>
  <c r="T49" i="3"/>
  <c r="S50" i="3"/>
  <c r="R51" i="3"/>
  <c r="X51" i="3"/>
  <c r="W52" i="3"/>
  <c r="V53" i="3"/>
  <c r="U54" i="3"/>
  <c r="T55" i="3"/>
  <c r="S56" i="3"/>
  <c r="R57" i="3"/>
  <c r="X57" i="3"/>
  <c r="W58" i="3"/>
  <c r="V59" i="3"/>
  <c r="U60" i="3"/>
  <c r="T61" i="3"/>
  <c r="S62" i="3"/>
  <c r="R63" i="3"/>
  <c r="X63" i="3"/>
  <c r="W64" i="3"/>
  <c r="V65" i="3"/>
  <c r="U66" i="3"/>
  <c r="T67" i="3"/>
  <c r="S68" i="3"/>
  <c r="R69" i="3"/>
  <c r="X69" i="3"/>
  <c r="W70" i="3"/>
  <c r="V71" i="3"/>
  <c r="U72" i="3"/>
  <c r="T73" i="3"/>
  <c r="S74" i="3"/>
  <c r="R75" i="3"/>
  <c r="X75" i="3"/>
  <c r="W76" i="3"/>
  <c r="V77" i="3"/>
  <c r="U78" i="3"/>
  <c r="U7" i="3"/>
  <c r="T8" i="3"/>
  <c r="S9" i="3"/>
  <c r="R10" i="3"/>
  <c r="X10" i="3"/>
  <c r="W11" i="3"/>
  <c r="V12" i="3"/>
  <c r="U13" i="3"/>
  <c r="T14" i="3"/>
  <c r="S15" i="3"/>
  <c r="R16" i="3"/>
  <c r="X16" i="3"/>
  <c r="W17" i="3"/>
  <c r="V18" i="3"/>
  <c r="U19" i="3"/>
  <c r="T20" i="3"/>
  <c r="S21" i="3"/>
  <c r="R22" i="3"/>
  <c r="X22" i="3"/>
  <c r="W23" i="3"/>
  <c r="V24" i="3"/>
  <c r="U25" i="3"/>
  <c r="T26" i="3"/>
  <c r="S27" i="3"/>
  <c r="R28" i="3"/>
  <c r="X28" i="3"/>
  <c r="W29" i="3"/>
  <c r="V30" i="3"/>
  <c r="U31" i="3"/>
  <c r="T32" i="3"/>
  <c r="S33" i="3"/>
  <c r="R34" i="3"/>
  <c r="X34" i="3"/>
  <c r="W35" i="3"/>
  <c r="V36" i="3"/>
  <c r="U37" i="3"/>
  <c r="T38" i="3"/>
  <c r="S39" i="3"/>
  <c r="V7" i="3"/>
  <c r="U8" i="3"/>
  <c r="T9" i="3"/>
  <c r="S10" i="3"/>
  <c r="R11" i="3"/>
  <c r="X11" i="3"/>
  <c r="W12" i="3"/>
  <c r="V13" i="3"/>
  <c r="U14" i="3"/>
  <c r="T15" i="3"/>
  <c r="S16" i="3"/>
  <c r="R17" i="3"/>
  <c r="X17" i="3"/>
  <c r="W18" i="3"/>
  <c r="V19" i="3"/>
  <c r="U20" i="3"/>
  <c r="T21" i="3"/>
  <c r="S22" i="3"/>
  <c r="R23" i="3"/>
  <c r="X23" i="3"/>
  <c r="W24" i="3"/>
  <c r="V25" i="3"/>
  <c r="U26" i="3"/>
  <c r="T27" i="3"/>
  <c r="S28" i="3"/>
  <c r="R29" i="3"/>
  <c r="X29" i="3"/>
  <c r="W30" i="3"/>
  <c r="V31" i="3"/>
  <c r="U32" i="3"/>
  <c r="T33" i="3"/>
  <c r="S34" i="3"/>
  <c r="R35" i="3"/>
  <c r="X35" i="3"/>
  <c r="W36" i="3"/>
  <c r="V37" i="3"/>
  <c r="U38" i="3"/>
  <c r="T39" i="3"/>
  <c r="S40" i="3"/>
  <c r="R41" i="3"/>
  <c r="X41" i="3"/>
  <c r="W42" i="3"/>
  <c r="V43" i="3"/>
  <c r="U44" i="3"/>
  <c r="T45" i="3"/>
  <c r="S46" i="3"/>
  <c r="R47" i="3"/>
  <c r="X47" i="3"/>
  <c r="W48" i="3"/>
  <c r="V49" i="3"/>
  <c r="U50" i="3"/>
  <c r="T51" i="3"/>
  <c r="S52" i="3"/>
  <c r="R53" i="3"/>
  <c r="X53" i="3"/>
  <c r="W54" i="3"/>
  <c r="V55" i="3"/>
  <c r="U56" i="3"/>
  <c r="T57" i="3"/>
  <c r="S58" i="3"/>
  <c r="R59" i="3"/>
  <c r="X59" i="3"/>
  <c r="W60" i="3"/>
  <c r="V61" i="3"/>
  <c r="U62" i="3"/>
  <c r="T63" i="3"/>
  <c r="S64" i="3"/>
  <c r="R65" i="3"/>
  <c r="X65" i="3"/>
  <c r="W66" i="3"/>
  <c r="V67" i="3"/>
  <c r="U68" i="3"/>
  <c r="T69" i="3"/>
  <c r="S70" i="3"/>
  <c r="R71" i="3"/>
  <c r="X71" i="3"/>
  <c r="W72" i="3"/>
  <c r="V73" i="3"/>
  <c r="U74" i="3"/>
  <c r="T75" i="3"/>
  <c r="S76" i="3"/>
  <c r="R77" i="3"/>
  <c r="X77" i="3"/>
  <c r="W78" i="3"/>
  <c r="V79" i="3"/>
  <c r="U80" i="3"/>
  <c r="T81" i="3"/>
  <c r="S82" i="3"/>
  <c r="R83" i="3"/>
  <c r="X83" i="3"/>
  <c r="W84" i="3"/>
  <c r="V85" i="3"/>
  <c r="U86" i="3"/>
  <c r="T87" i="3"/>
  <c r="S88" i="3"/>
  <c r="R89" i="3"/>
  <c r="X89" i="3"/>
  <c r="W90" i="3"/>
  <c r="V91" i="3"/>
  <c r="U92" i="3"/>
  <c r="T93" i="3"/>
  <c r="S94" i="3"/>
  <c r="R95" i="3"/>
  <c r="X95" i="3"/>
  <c r="W96" i="3"/>
  <c r="W7" i="3"/>
  <c r="V8" i="3"/>
  <c r="U9" i="3"/>
  <c r="T10" i="3"/>
  <c r="S11" i="3"/>
  <c r="R12" i="3"/>
  <c r="X12" i="3"/>
  <c r="W13" i="3"/>
  <c r="V14" i="3"/>
  <c r="U15" i="3"/>
  <c r="T16" i="3"/>
  <c r="S17" i="3"/>
  <c r="R18" i="3"/>
  <c r="X18" i="3"/>
  <c r="W19" i="3"/>
  <c r="V20" i="3"/>
  <c r="U21" i="3"/>
  <c r="T22" i="3"/>
  <c r="S23" i="3"/>
  <c r="R24" i="3"/>
  <c r="X24" i="3"/>
  <c r="W25" i="3"/>
  <c r="U27" i="3"/>
  <c r="V32" i="3"/>
  <c r="W37" i="3"/>
  <c r="X40" i="3"/>
  <c r="V42" i="3"/>
  <c r="T44" i="3"/>
  <c r="R46" i="3"/>
  <c r="W47" i="3"/>
  <c r="U49" i="3"/>
  <c r="S51" i="3"/>
  <c r="X52" i="3"/>
  <c r="V54" i="3"/>
  <c r="T56" i="3"/>
  <c r="R58" i="3"/>
  <c r="W59" i="3"/>
  <c r="U61" i="3"/>
  <c r="S63" i="3"/>
  <c r="X64" i="3"/>
  <c r="V66" i="3"/>
  <c r="T68" i="3"/>
  <c r="R70" i="3"/>
  <c r="W71" i="3"/>
  <c r="U73" i="3"/>
  <c r="S75" i="3"/>
  <c r="X76" i="3"/>
  <c r="V78" i="3"/>
  <c r="R80" i="3"/>
  <c r="R81" i="3"/>
  <c r="R82" i="3"/>
  <c r="S84" i="3"/>
  <c r="S85" i="3"/>
  <c r="S87" i="3"/>
  <c r="T89" i="3"/>
  <c r="T92" i="3"/>
  <c r="U95" i="3"/>
  <c r="V93" i="3"/>
  <c r="V96" i="3"/>
  <c r="T28" i="3"/>
  <c r="U33" i="3"/>
  <c r="V38" i="3"/>
  <c r="S41" i="3"/>
  <c r="X42" i="3"/>
  <c r="V44" i="3"/>
  <c r="T46" i="3"/>
  <c r="R48" i="3"/>
  <c r="W49" i="3"/>
  <c r="U51" i="3"/>
  <c r="S53" i="3"/>
  <c r="X54" i="3"/>
  <c r="V56" i="3"/>
  <c r="T58" i="3"/>
  <c r="R60" i="3"/>
  <c r="W61" i="3"/>
  <c r="U63" i="3"/>
  <c r="S65" i="3"/>
  <c r="X66" i="3"/>
  <c r="V68" i="3"/>
  <c r="T70" i="3"/>
  <c r="R72" i="3"/>
  <c r="W73" i="3"/>
  <c r="U75" i="3"/>
  <c r="S77" i="3"/>
  <c r="X78" i="3"/>
  <c r="S80" i="3"/>
  <c r="S81" i="3"/>
  <c r="T82" i="3"/>
  <c r="T83" i="3"/>
  <c r="T84" i="3"/>
  <c r="T85" i="3"/>
  <c r="T86" i="3"/>
  <c r="U87" i="3"/>
  <c r="U88" i="3"/>
  <c r="U89" i="3"/>
  <c r="U90" i="3"/>
  <c r="U91" i="3"/>
  <c r="V92" i="3"/>
  <c r="V94" i="3"/>
  <c r="S29" i="3"/>
  <c r="T34" i="3"/>
  <c r="U39" i="3"/>
  <c r="U41" i="3"/>
  <c r="S43" i="3"/>
  <c r="X44" i="3"/>
  <c r="V46" i="3"/>
  <c r="T48" i="3"/>
  <c r="R50" i="3"/>
  <c r="W51" i="3"/>
  <c r="U53" i="3"/>
  <c r="S55" i="3"/>
  <c r="X56" i="3"/>
  <c r="V58" i="3"/>
  <c r="T60" i="3"/>
  <c r="R62" i="3"/>
  <c r="W63" i="3"/>
  <c r="U65" i="3"/>
  <c r="S67" i="3"/>
  <c r="X68" i="3"/>
  <c r="V70" i="3"/>
  <c r="T72" i="3"/>
  <c r="R74" i="3"/>
  <c r="W75" i="3"/>
  <c r="U77" i="3"/>
  <c r="S79" i="3"/>
  <c r="T80" i="3"/>
  <c r="U81" i="3"/>
  <c r="U82" i="3"/>
  <c r="U83" i="3"/>
  <c r="U84" i="3"/>
  <c r="U85" i="3"/>
  <c r="V86" i="3"/>
  <c r="V87" i="3"/>
  <c r="V88" i="3"/>
  <c r="V89" i="3"/>
  <c r="V90" i="3"/>
  <c r="W91" i="3"/>
  <c r="W92" i="3"/>
  <c r="W93" i="3"/>
  <c r="W94" i="3"/>
  <c r="W95" i="3"/>
  <c r="R30" i="3"/>
  <c r="S35" i="3"/>
  <c r="R40" i="3"/>
  <c r="W41" i="3"/>
  <c r="U43" i="3"/>
  <c r="S45" i="3"/>
  <c r="X46" i="3"/>
  <c r="V48" i="3"/>
  <c r="T50" i="3"/>
  <c r="R52" i="3"/>
  <c r="W53" i="3"/>
  <c r="U55" i="3"/>
  <c r="S57" i="3"/>
  <c r="X58" i="3"/>
  <c r="V60" i="3"/>
  <c r="T62" i="3"/>
  <c r="R64" i="3"/>
  <c r="W65" i="3"/>
  <c r="U67" i="3"/>
  <c r="S69" i="3"/>
  <c r="X70" i="3"/>
  <c r="V72" i="3"/>
  <c r="T74" i="3"/>
  <c r="R76" i="3"/>
  <c r="W77" i="3"/>
  <c r="T79" i="3"/>
  <c r="V80" i="3"/>
  <c r="V81" i="3"/>
  <c r="V82" i="3"/>
  <c r="V83" i="3"/>
  <c r="V84" i="3"/>
  <c r="W85" i="3"/>
  <c r="W86" i="3"/>
  <c r="W87" i="3"/>
  <c r="W88" i="3"/>
  <c r="W89" i="3"/>
  <c r="X90" i="3"/>
  <c r="X91" i="3"/>
  <c r="X92" i="3"/>
  <c r="X93" i="3"/>
  <c r="X94" i="3"/>
  <c r="R96" i="3"/>
  <c r="X30" i="3"/>
  <c r="R36" i="3"/>
  <c r="T40" i="3"/>
  <c r="R42" i="3"/>
  <c r="W43" i="3"/>
  <c r="U45" i="3"/>
  <c r="S47" i="3"/>
  <c r="X48" i="3"/>
  <c r="V50" i="3"/>
  <c r="T52" i="3"/>
  <c r="R54" i="3"/>
  <c r="W55" i="3"/>
  <c r="U57" i="3"/>
  <c r="S59" i="3"/>
  <c r="X60" i="3"/>
  <c r="V62" i="3"/>
  <c r="T64" i="3"/>
  <c r="R66" i="3"/>
  <c r="W67" i="3"/>
  <c r="U69" i="3"/>
  <c r="S71" i="3"/>
  <c r="X72" i="3"/>
  <c r="V74" i="3"/>
  <c r="T76" i="3"/>
  <c r="R78" i="3"/>
  <c r="U79" i="3"/>
  <c r="W80" i="3"/>
  <c r="W81" i="3"/>
  <c r="W82" i="3"/>
  <c r="W83" i="3"/>
  <c r="X84" i="3"/>
  <c r="X85" i="3"/>
  <c r="X86" i="3"/>
  <c r="X87" i="3"/>
  <c r="X88" i="3"/>
  <c r="R90" i="3"/>
  <c r="R91" i="3"/>
  <c r="R92" i="3"/>
  <c r="R93" i="3"/>
  <c r="R94" i="3"/>
  <c r="S95" i="3"/>
  <c r="S96" i="3"/>
  <c r="V26" i="3"/>
  <c r="W31" i="3"/>
  <c r="X36" i="3"/>
  <c r="V40" i="3"/>
  <c r="T42" i="3"/>
  <c r="R44" i="3"/>
  <c r="W45" i="3"/>
  <c r="U47" i="3"/>
  <c r="S49" i="3"/>
  <c r="X50" i="3"/>
  <c r="V52" i="3"/>
  <c r="T54" i="3"/>
  <c r="R56" i="3"/>
  <c r="W57" i="3"/>
  <c r="U59" i="3"/>
  <c r="S61" i="3"/>
  <c r="X62" i="3"/>
  <c r="V64" i="3"/>
  <c r="T66" i="3"/>
  <c r="R68" i="3"/>
  <c r="W69" i="3"/>
  <c r="U71" i="3"/>
  <c r="S73" i="3"/>
  <c r="X74" i="3"/>
  <c r="V76" i="3"/>
  <c r="T78" i="3"/>
  <c r="W79" i="3"/>
  <c r="X80" i="3"/>
  <c r="X81" i="3"/>
  <c r="X82" i="3"/>
  <c r="R84" i="3"/>
  <c r="R85" i="3"/>
  <c r="R86" i="3"/>
  <c r="R87" i="3"/>
  <c r="R88" i="3"/>
  <c r="S89" i="3"/>
  <c r="S90" i="3"/>
  <c r="S91" i="3"/>
  <c r="S92" i="3"/>
  <c r="S93" i="3"/>
  <c r="T94" i="3"/>
  <c r="T95" i="3"/>
  <c r="T96" i="3"/>
  <c r="S83" i="3"/>
  <c r="S86" i="3"/>
  <c r="T88" i="3"/>
  <c r="T90" i="3"/>
  <c r="T91" i="3"/>
  <c r="U93" i="3"/>
  <c r="U94" i="3"/>
  <c r="U96" i="3"/>
  <c r="V95" i="3"/>
  <c r="X96" i="3"/>
  <c r="W6" i="3"/>
  <c r="X6" i="3"/>
  <c r="S6" i="3"/>
  <c r="T6" i="3"/>
  <c r="U6" i="3"/>
  <c r="V6" i="3"/>
  <c r="R6" i="3"/>
  <c r="M5" i="3"/>
  <c r="N5" i="3"/>
  <c r="O5" i="3"/>
  <c r="P5" i="3"/>
  <c r="Q5" i="3"/>
  <c r="L5" i="3"/>
  <c r="S5" i="3"/>
  <c r="T5" i="3"/>
  <c r="U5" i="3"/>
  <c r="V5" i="3"/>
  <c r="W5" i="3"/>
  <c r="X5" i="3"/>
  <c r="R5" i="3"/>
  <c r="A7" i="3"/>
  <c r="A8" i="3"/>
  <c r="A9" i="3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M25" i="3"/>
  <c r="M31" i="3"/>
  <c r="M37" i="3"/>
  <c r="M43" i="3"/>
  <c r="N44" i="3"/>
  <c r="M49" i="3"/>
  <c r="N50" i="3"/>
  <c r="O51" i="3"/>
  <c r="M55" i="3"/>
  <c r="N56" i="3"/>
  <c r="O57" i="3"/>
  <c r="M61" i="3"/>
  <c r="N62" i="3"/>
  <c r="O63" i="3"/>
  <c r="P64" i="3"/>
  <c r="M67" i="3"/>
  <c r="N68" i="3"/>
  <c r="O69" i="3"/>
  <c r="P70" i="3"/>
  <c r="Q71" i="3"/>
  <c r="M73" i="3"/>
  <c r="N74" i="3"/>
  <c r="O75" i="3"/>
  <c r="P76" i="3"/>
  <c r="Q77" i="3"/>
  <c r="M79" i="3"/>
  <c r="N80" i="3"/>
  <c r="O81" i="3"/>
  <c r="P82" i="3"/>
  <c r="Q83" i="3"/>
  <c r="M85" i="3"/>
  <c r="N86" i="3"/>
  <c r="O87" i="3"/>
  <c r="P88" i="3"/>
  <c r="Q89" i="3"/>
  <c r="M91" i="3"/>
  <c r="N92" i="3"/>
  <c r="O93" i="3"/>
  <c r="P94" i="3"/>
  <c r="Q95" i="3"/>
  <c r="O92" i="3"/>
  <c r="M96" i="3"/>
  <c r="P80" i="3"/>
  <c r="N84" i="3"/>
  <c r="Q87" i="3"/>
  <c r="O91" i="3"/>
  <c r="Q93" i="3"/>
  <c r="O64" i="3"/>
  <c r="P71" i="3"/>
  <c r="P77" i="3"/>
  <c r="P83" i="3"/>
  <c r="P89" i="3"/>
  <c r="P95" i="3"/>
  <c r="M24" i="3"/>
  <c r="M30" i="3"/>
  <c r="M36" i="3"/>
  <c r="M42" i="3"/>
  <c r="N43" i="3"/>
  <c r="M48" i="3"/>
  <c r="N49" i="3"/>
  <c r="M54" i="3"/>
  <c r="N55" i="3"/>
  <c r="O56" i="3"/>
  <c r="M60" i="3"/>
  <c r="N61" i="3"/>
  <c r="O62" i="3"/>
  <c r="P63" i="3"/>
  <c r="M66" i="3"/>
  <c r="N67" i="3"/>
  <c r="O68" i="3"/>
  <c r="P69" i="3"/>
  <c r="Q70" i="3"/>
  <c r="M72" i="3"/>
  <c r="N73" i="3"/>
  <c r="O74" i="3"/>
  <c r="P75" i="3"/>
  <c r="Q76" i="3"/>
  <c r="M78" i="3"/>
  <c r="N79" i="3"/>
  <c r="O80" i="3"/>
  <c r="P81" i="3"/>
  <c r="Q82" i="3"/>
  <c r="M84" i="3"/>
  <c r="N85" i="3"/>
  <c r="O86" i="3"/>
  <c r="P87" i="3"/>
  <c r="Q88" i="3"/>
  <c r="M90" i="3"/>
  <c r="N91" i="3"/>
  <c r="P93" i="3"/>
  <c r="Q94" i="3"/>
  <c r="Q81" i="3"/>
  <c r="O85" i="3"/>
  <c r="M89" i="3"/>
  <c r="P92" i="3"/>
  <c r="N96" i="3"/>
  <c r="M88" i="3"/>
  <c r="P91" i="3"/>
  <c r="N95" i="3"/>
  <c r="N45" i="3"/>
  <c r="N51" i="3"/>
  <c r="N57" i="3"/>
  <c r="M68" i="3"/>
  <c r="N75" i="3"/>
  <c r="M80" i="3"/>
  <c r="Q84" i="3"/>
  <c r="Q90" i="3"/>
  <c r="Q96" i="3"/>
  <c r="M29" i="3"/>
  <c r="M35" i="3"/>
  <c r="M41" i="3"/>
  <c r="N42" i="3"/>
  <c r="M47" i="3"/>
  <c r="N48" i="3"/>
  <c r="M53" i="3"/>
  <c r="N54" i="3"/>
  <c r="O55" i="3"/>
  <c r="M59" i="3"/>
  <c r="N60" i="3"/>
  <c r="O61" i="3"/>
  <c r="P62" i="3"/>
  <c r="M65" i="3"/>
  <c r="N66" i="3"/>
  <c r="O67" i="3"/>
  <c r="P68" i="3"/>
  <c r="Q69" i="3"/>
  <c r="M71" i="3"/>
  <c r="N72" i="3"/>
  <c r="O73" i="3"/>
  <c r="P74" i="3"/>
  <c r="Q75" i="3"/>
  <c r="M77" i="3"/>
  <c r="N78" i="3"/>
  <c r="O79" i="3"/>
  <c r="M83" i="3"/>
  <c r="P86" i="3"/>
  <c r="N90" i="3"/>
  <c r="M95" i="3"/>
  <c r="N89" i="3"/>
  <c r="M94" i="3"/>
  <c r="O96" i="3"/>
  <c r="M50" i="3"/>
  <c r="M74" i="3"/>
  <c r="N81" i="3"/>
  <c r="N87" i="3"/>
  <c r="N93" i="3"/>
  <c r="M28" i="3"/>
  <c r="M34" i="3"/>
  <c r="M40" i="3"/>
  <c r="N41" i="3"/>
  <c r="M46" i="3"/>
  <c r="N47" i="3"/>
  <c r="M52" i="3"/>
  <c r="N53" i="3"/>
  <c r="O54" i="3"/>
  <c r="M58" i="3"/>
  <c r="N59" i="3"/>
  <c r="O60" i="3"/>
  <c r="P61" i="3"/>
  <c r="M64" i="3"/>
  <c r="N65" i="3"/>
  <c r="O66" i="3"/>
  <c r="P67" i="3"/>
  <c r="M70" i="3"/>
  <c r="N71" i="3"/>
  <c r="O72" i="3"/>
  <c r="P73" i="3"/>
  <c r="Q74" i="3"/>
  <c r="M76" i="3"/>
  <c r="N77" i="3"/>
  <c r="O78" i="3"/>
  <c r="P79" i="3"/>
  <c r="Q80" i="3"/>
  <c r="M82" i="3"/>
  <c r="N83" i="3"/>
  <c r="O84" i="3"/>
  <c r="P85" i="3"/>
  <c r="Q86" i="3"/>
  <c r="O90" i="3"/>
  <c r="Q92" i="3"/>
  <c r="M32" i="3"/>
  <c r="M38" i="3"/>
  <c r="M56" i="3"/>
  <c r="M62" i="3"/>
  <c r="P65" i="3"/>
  <c r="O70" i="3"/>
  <c r="O76" i="3"/>
  <c r="O82" i="3"/>
  <c r="O88" i="3"/>
  <c r="O94" i="3"/>
  <c r="M27" i="3"/>
  <c r="M33" i="3"/>
  <c r="M39" i="3"/>
  <c r="N40" i="3"/>
  <c r="M45" i="3"/>
  <c r="N46" i="3"/>
  <c r="M51" i="3"/>
  <c r="N52" i="3"/>
  <c r="O53" i="3"/>
  <c r="M57" i="3"/>
  <c r="N58" i="3"/>
  <c r="O59" i="3"/>
  <c r="M63" i="3"/>
  <c r="N64" i="3"/>
  <c r="O65" i="3"/>
  <c r="P66" i="3"/>
  <c r="M69" i="3"/>
  <c r="N70" i="3"/>
  <c r="O71" i="3"/>
  <c r="P72" i="3"/>
  <c r="Q73" i="3"/>
  <c r="M75" i="3"/>
  <c r="N76" i="3"/>
  <c r="O77" i="3"/>
  <c r="P78" i="3"/>
  <c r="Q79" i="3"/>
  <c r="M81" i="3"/>
  <c r="N82" i="3"/>
  <c r="O83" i="3"/>
  <c r="P84" i="3"/>
  <c r="Q85" i="3"/>
  <c r="M87" i="3"/>
  <c r="N88" i="3"/>
  <c r="O89" i="3"/>
  <c r="P90" i="3"/>
  <c r="Q91" i="3"/>
  <c r="M93" i="3"/>
  <c r="N94" i="3"/>
  <c r="O95" i="3"/>
  <c r="P96" i="3"/>
  <c r="M26" i="3"/>
  <c r="N39" i="3"/>
  <c r="M44" i="3"/>
  <c r="O52" i="3"/>
  <c r="O58" i="3"/>
  <c r="N63" i="3"/>
  <c r="N69" i="3"/>
  <c r="Q72" i="3"/>
  <c r="Q78" i="3"/>
  <c r="M86" i="3"/>
  <c r="M92" i="3"/>
  <c r="L7" i="3"/>
  <c r="L13" i="3"/>
  <c r="L19" i="3"/>
  <c r="L25" i="3"/>
  <c r="L31" i="3"/>
  <c r="L37" i="3"/>
  <c r="L43" i="3"/>
  <c r="L49" i="3"/>
  <c r="L55" i="3"/>
  <c r="L61" i="3"/>
  <c r="L67" i="3"/>
  <c r="L73" i="3"/>
  <c r="L79" i="3"/>
  <c r="L91" i="3"/>
  <c r="L33" i="3"/>
  <c r="L51" i="3"/>
  <c r="L87" i="3"/>
  <c r="L28" i="3"/>
  <c r="L46" i="3"/>
  <c r="L64" i="3"/>
  <c r="L82" i="3"/>
  <c r="L8" i="3"/>
  <c r="L14" i="3"/>
  <c r="L20" i="3"/>
  <c r="L26" i="3"/>
  <c r="L32" i="3"/>
  <c r="L38" i="3"/>
  <c r="L44" i="3"/>
  <c r="L50" i="3"/>
  <c r="L56" i="3"/>
  <c r="L62" i="3"/>
  <c r="L68" i="3"/>
  <c r="L74" i="3"/>
  <c r="L80" i="3"/>
  <c r="L86" i="3"/>
  <c r="L92" i="3"/>
  <c r="L27" i="3"/>
  <c r="L57" i="3"/>
  <c r="L81" i="3"/>
  <c r="L22" i="3"/>
  <c r="L58" i="3"/>
  <c r="L76" i="3"/>
  <c r="L9" i="3"/>
  <c r="L15" i="3"/>
  <c r="L39" i="3"/>
  <c r="L69" i="3"/>
  <c r="L93" i="3"/>
  <c r="L34" i="3"/>
  <c r="L70" i="3"/>
  <c r="L94" i="3"/>
  <c r="L10" i="3"/>
  <c r="L16" i="3"/>
  <c r="L40" i="3"/>
  <c r="L52" i="3"/>
  <c r="L88" i="3"/>
  <c r="L11" i="3"/>
  <c r="L17" i="3"/>
  <c r="L23" i="3"/>
  <c r="L29" i="3"/>
  <c r="L35" i="3"/>
  <c r="L41" i="3"/>
  <c r="L47" i="3"/>
  <c r="L53" i="3"/>
  <c r="L59" i="3"/>
  <c r="L65" i="3"/>
  <c r="L71" i="3"/>
  <c r="L77" i="3"/>
  <c r="L83" i="3"/>
  <c r="L89" i="3"/>
  <c r="L95" i="3"/>
  <c r="L12" i="3"/>
  <c r="L18" i="3"/>
  <c r="L24" i="3"/>
  <c r="L30" i="3"/>
  <c r="L36" i="3"/>
  <c r="L42" i="3"/>
  <c r="L48" i="3"/>
  <c r="L54" i="3"/>
  <c r="L60" i="3"/>
  <c r="L66" i="3"/>
  <c r="L72" i="3"/>
  <c r="L78" i="3"/>
  <c r="L84" i="3"/>
  <c r="L90" i="3"/>
  <c r="L96" i="3"/>
  <c r="L85" i="3"/>
  <c r="L21" i="3"/>
  <c r="L45" i="3"/>
  <c r="L63" i="3"/>
  <c r="L75" i="3"/>
  <c r="L6" i="3"/>
  <c r="H6" i="3"/>
  <c r="I6" i="3"/>
  <c r="K6" i="3"/>
  <c r="G6" i="3"/>
  <c r="J6" i="3"/>
  <c r="E6" i="3"/>
  <c r="F6" i="3"/>
  <c r="C6" i="3"/>
  <c r="D6" i="3"/>
  <c r="C7" i="3"/>
  <c r="E7" i="3"/>
  <c r="D7" i="3"/>
  <c r="F7" i="3"/>
  <c r="H7" i="3"/>
  <c r="G7" i="3"/>
  <c r="J7" i="3"/>
  <c r="I7" i="3"/>
  <c r="K7" i="3"/>
  <c r="B6" i="3"/>
  <c r="E8" i="3"/>
  <c r="C8" i="3"/>
  <c r="D8" i="3"/>
  <c r="F8" i="3"/>
  <c r="I8" i="3"/>
  <c r="H8" i="3"/>
  <c r="K8" i="3"/>
  <c r="J8" i="3"/>
  <c r="G8" i="3"/>
  <c r="B7" i="3"/>
  <c r="B8" i="3"/>
  <c r="B9" i="3" l="1"/>
  <c r="C9" i="3"/>
  <c r="F9" i="3"/>
  <c r="D9" i="3"/>
  <c r="E9" i="3"/>
  <c r="H9" i="3"/>
  <c r="J9" i="3"/>
  <c r="I9" i="3"/>
  <c r="K9" i="3"/>
  <c r="G9" i="3"/>
  <c r="B10" i="3" l="1"/>
  <c r="F10" i="3"/>
  <c r="C10" i="3"/>
  <c r="E10" i="3"/>
  <c r="D10" i="3"/>
  <c r="H10" i="3"/>
  <c r="G10" i="3"/>
  <c r="I10" i="3"/>
  <c r="K10" i="3"/>
  <c r="J10" i="3"/>
  <c r="B11" i="3" l="1"/>
  <c r="C11" i="3"/>
  <c r="F11" i="3"/>
  <c r="E11" i="3"/>
  <c r="D11" i="3"/>
  <c r="I11" i="3"/>
  <c r="G11" i="3"/>
  <c r="H11" i="3"/>
  <c r="K11" i="3"/>
  <c r="J11" i="3"/>
  <c r="B12" i="3" l="1"/>
  <c r="C12" i="3"/>
  <c r="E12" i="3"/>
  <c r="F12" i="3"/>
  <c r="D12" i="3"/>
  <c r="J12" i="3"/>
  <c r="H12" i="3"/>
  <c r="G12" i="3"/>
  <c r="K12" i="3"/>
  <c r="I12" i="3"/>
  <c r="B13" i="3" l="1"/>
  <c r="D13" i="3"/>
  <c r="F13" i="3"/>
  <c r="C13" i="3"/>
  <c r="E13" i="3"/>
  <c r="K13" i="3"/>
  <c r="J13" i="3"/>
  <c r="I13" i="3"/>
  <c r="G13" i="3"/>
  <c r="H13" i="3"/>
  <c r="B14" i="3" l="1"/>
  <c r="F14" i="3"/>
  <c r="C14" i="3"/>
  <c r="E14" i="3"/>
  <c r="D14" i="3"/>
  <c r="J14" i="3"/>
  <c r="H14" i="3"/>
  <c r="K14" i="3"/>
  <c r="G14" i="3"/>
  <c r="I14" i="3"/>
  <c r="B15" i="3" l="1"/>
  <c r="E15" i="3"/>
  <c r="F15" i="3"/>
  <c r="C15" i="3"/>
  <c r="D15" i="3"/>
  <c r="H15" i="3"/>
  <c r="K15" i="3"/>
  <c r="J15" i="3"/>
  <c r="G15" i="3"/>
  <c r="I15" i="3"/>
  <c r="B16" i="3" l="1"/>
  <c r="F16" i="3"/>
  <c r="E16" i="3"/>
  <c r="D16" i="3"/>
  <c r="C16" i="3"/>
  <c r="J16" i="3"/>
  <c r="K16" i="3"/>
  <c r="G16" i="3"/>
  <c r="H16" i="3"/>
  <c r="I16" i="3"/>
  <c r="B17" i="3" l="1"/>
  <c r="E17" i="3"/>
  <c r="D17" i="3"/>
  <c r="F17" i="3"/>
  <c r="C17" i="3"/>
  <c r="G17" i="3"/>
  <c r="J17" i="3"/>
  <c r="H17" i="3"/>
  <c r="K17" i="3"/>
  <c r="I17" i="3"/>
  <c r="B18" i="3" l="1"/>
  <c r="C18" i="3"/>
  <c r="E18" i="3"/>
  <c r="F18" i="3"/>
  <c r="D18" i="3"/>
  <c r="K18" i="3"/>
  <c r="G18" i="3"/>
  <c r="J18" i="3"/>
  <c r="H18" i="3"/>
  <c r="I18" i="3"/>
  <c r="B19" i="3" l="1"/>
  <c r="C19" i="3"/>
  <c r="D19" i="3"/>
  <c r="E19" i="3"/>
  <c r="F19" i="3"/>
  <c r="G19" i="3"/>
  <c r="I19" i="3"/>
  <c r="H19" i="3"/>
  <c r="J19" i="3"/>
  <c r="K19" i="3"/>
  <c r="B20" i="3" l="1"/>
  <c r="E20" i="3"/>
  <c r="F20" i="3"/>
  <c r="C20" i="3"/>
  <c r="D20" i="3"/>
  <c r="H20" i="3"/>
  <c r="J20" i="3"/>
  <c r="I20" i="3"/>
  <c r="G20" i="3"/>
  <c r="K20" i="3"/>
  <c r="B21" i="3" l="1"/>
  <c r="C21" i="3"/>
  <c r="D21" i="3"/>
  <c r="E21" i="3"/>
  <c r="F21" i="3"/>
  <c r="G21" i="3"/>
  <c r="J21" i="3"/>
  <c r="I21" i="3"/>
  <c r="K21" i="3"/>
  <c r="H21" i="3"/>
  <c r="B22" i="3" l="1"/>
  <c r="E22" i="3"/>
  <c r="D22" i="3"/>
  <c r="C22" i="3"/>
  <c r="F22" i="3"/>
  <c r="H22" i="3"/>
  <c r="K22" i="3"/>
  <c r="J22" i="3"/>
  <c r="G22" i="3"/>
  <c r="I22" i="3"/>
  <c r="B23" i="3" l="1"/>
  <c r="F23" i="3"/>
  <c r="D23" i="3"/>
  <c r="E23" i="3"/>
  <c r="C23" i="3"/>
  <c r="H23" i="3"/>
  <c r="I23" i="3"/>
  <c r="G23" i="3"/>
  <c r="J23" i="3"/>
  <c r="K23" i="3"/>
  <c r="B24" i="3" l="1"/>
  <c r="C24" i="3"/>
  <c r="D24" i="3"/>
  <c r="F24" i="3"/>
  <c r="E24" i="3"/>
  <c r="G24" i="3"/>
  <c r="J24" i="3"/>
  <c r="I24" i="3"/>
  <c r="H24" i="3"/>
  <c r="K24" i="3"/>
  <c r="B25" i="3" l="1"/>
  <c r="C25" i="3"/>
  <c r="E25" i="3"/>
  <c r="D25" i="3"/>
  <c r="F25" i="3"/>
  <c r="J25" i="3"/>
  <c r="G25" i="3"/>
  <c r="I25" i="3"/>
  <c r="H25" i="3"/>
  <c r="K25" i="3"/>
  <c r="B26" i="3" l="1"/>
  <c r="C26" i="3"/>
  <c r="D26" i="3"/>
  <c r="E26" i="3"/>
  <c r="F26" i="3"/>
  <c r="I26" i="3"/>
  <c r="K26" i="3"/>
  <c r="J26" i="3"/>
  <c r="H26" i="3"/>
  <c r="G26" i="3"/>
  <c r="B27" i="3" l="1"/>
  <c r="C27" i="3"/>
  <c r="F27" i="3"/>
  <c r="D27" i="3"/>
  <c r="E27" i="3"/>
  <c r="I27" i="3"/>
  <c r="K27" i="3"/>
  <c r="H27" i="3"/>
  <c r="J27" i="3"/>
  <c r="G27" i="3"/>
  <c r="B28" i="3" l="1"/>
  <c r="E28" i="3"/>
  <c r="C28" i="3"/>
  <c r="D28" i="3"/>
  <c r="F28" i="3"/>
  <c r="J28" i="3"/>
  <c r="I28" i="3"/>
  <c r="K28" i="3"/>
  <c r="H28" i="3"/>
  <c r="G28" i="3"/>
  <c r="B29" i="3" l="1"/>
  <c r="C29" i="3"/>
  <c r="F29" i="3"/>
  <c r="E29" i="3"/>
  <c r="D29" i="3"/>
  <c r="G29" i="3"/>
  <c r="K29" i="3"/>
  <c r="J29" i="3"/>
  <c r="H29" i="3"/>
  <c r="I29" i="3"/>
  <c r="B30" i="3" l="1"/>
  <c r="E30" i="3"/>
  <c r="D30" i="3"/>
  <c r="F30" i="3"/>
  <c r="C30" i="3"/>
  <c r="H30" i="3"/>
  <c r="K30" i="3"/>
  <c r="G30" i="3"/>
  <c r="J30" i="3"/>
  <c r="I30" i="3"/>
  <c r="B31" i="3" l="1"/>
  <c r="C31" i="3"/>
  <c r="D31" i="3"/>
  <c r="E31" i="3"/>
  <c r="F31" i="3"/>
  <c r="I31" i="3"/>
  <c r="J31" i="3"/>
  <c r="K31" i="3"/>
  <c r="G31" i="3"/>
  <c r="H31" i="3"/>
  <c r="B32" i="3" l="1"/>
  <c r="C32" i="3"/>
  <c r="D32" i="3"/>
  <c r="E32" i="3"/>
  <c r="F32" i="3"/>
  <c r="K32" i="3"/>
  <c r="G32" i="3"/>
  <c r="J32" i="3"/>
  <c r="I32" i="3"/>
  <c r="H32" i="3"/>
  <c r="B33" i="3" l="1"/>
  <c r="F33" i="3"/>
  <c r="C33" i="3"/>
  <c r="D33" i="3"/>
  <c r="E33" i="3"/>
  <c r="K33" i="3"/>
  <c r="J33" i="3"/>
  <c r="I33" i="3"/>
  <c r="G33" i="3"/>
  <c r="H33" i="3"/>
  <c r="B34" i="3" l="1"/>
  <c r="F34" i="3"/>
  <c r="E34" i="3"/>
  <c r="D34" i="3"/>
  <c r="C34" i="3"/>
  <c r="H34" i="3"/>
  <c r="I34" i="3"/>
  <c r="K34" i="3"/>
  <c r="G34" i="3"/>
  <c r="J34" i="3"/>
  <c r="B35" i="3" l="1"/>
  <c r="F35" i="3"/>
  <c r="E35" i="3"/>
  <c r="D35" i="3"/>
  <c r="C35" i="3"/>
  <c r="H35" i="3"/>
  <c r="J35" i="3"/>
  <c r="I35" i="3"/>
  <c r="G35" i="3"/>
  <c r="K35" i="3"/>
  <c r="B36" i="3" l="1"/>
  <c r="C36" i="3"/>
  <c r="D36" i="3"/>
  <c r="F36" i="3"/>
  <c r="E36" i="3"/>
  <c r="G36" i="3"/>
  <c r="K36" i="3"/>
  <c r="H36" i="3"/>
  <c r="J36" i="3"/>
  <c r="I36" i="3"/>
  <c r="B37" i="3" l="1"/>
  <c r="E37" i="3"/>
  <c r="C37" i="3"/>
  <c r="D37" i="3"/>
  <c r="F37" i="3"/>
  <c r="H37" i="3"/>
  <c r="K37" i="3"/>
  <c r="I37" i="3"/>
  <c r="J37" i="3"/>
  <c r="G37" i="3"/>
  <c r="B38" i="3" l="1"/>
  <c r="D38" i="3"/>
  <c r="E38" i="3"/>
  <c r="F38" i="3"/>
  <c r="C38" i="3"/>
  <c r="J38" i="3"/>
  <c r="G38" i="3"/>
  <c r="I38" i="3"/>
  <c r="H38" i="3"/>
  <c r="K38" i="3"/>
  <c r="B39" i="3" l="1"/>
  <c r="F39" i="3"/>
  <c r="D39" i="3"/>
  <c r="C39" i="3"/>
  <c r="E39" i="3"/>
  <c r="H39" i="3"/>
  <c r="I39" i="3"/>
  <c r="K39" i="3"/>
  <c r="G39" i="3"/>
  <c r="J39" i="3"/>
  <c r="B40" i="3" l="1"/>
  <c r="F40" i="3"/>
  <c r="C40" i="3"/>
  <c r="E40" i="3"/>
  <c r="D40" i="3"/>
  <c r="J40" i="3"/>
  <c r="H40" i="3"/>
  <c r="I40" i="3"/>
  <c r="K40" i="3"/>
  <c r="G40" i="3"/>
  <c r="B41" i="3" l="1"/>
  <c r="C41" i="3"/>
  <c r="F41" i="3"/>
  <c r="D41" i="3"/>
  <c r="E41" i="3"/>
  <c r="J41" i="3"/>
  <c r="G41" i="3"/>
  <c r="K41" i="3"/>
  <c r="H41" i="3"/>
  <c r="I41" i="3"/>
  <c r="B42" i="3" l="1"/>
  <c r="C42" i="3"/>
  <c r="E42" i="3"/>
  <c r="D42" i="3"/>
  <c r="F42" i="3"/>
  <c r="I42" i="3"/>
  <c r="J42" i="3"/>
  <c r="K42" i="3"/>
  <c r="H42" i="3"/>
  <c r="G42" i="3"/>
  <c r="B43" i="3" l="1"/>
  <c r="C43" i="3"/>
  <c r="D43" i="3"/>
  <c r="F43" i="3"/>
  <c r="E43" i="3"/>
  <c r="I43" i="3"/>
  <c r="J43" i="3"/>
  <c r="H43" i="3"/>
  <c r="K43" i="3"/>
  <c r="G43" i="3"/>
  <c r="B44" i="3" l="1"/>
  <c r="D44" i="3"/>
  <c r="C44" i="3"/>
  <c r="F44" i="3"/>
  <c r="E44" i="3"/>
  <c r="K44" i="3"/>
  <c r="J44" i="3"/>
  <c r="G44" i="3"/>
  <c r="H44" i="3"/>
  <c r="I44" i="3"/>
  <c r="B45" i="3" l="1"/>
  <c r="D45" i="3"/>
  <c r="C45" i="3"/>
  <c r="F45" i="3"/>
  <c r="E45" i="3"/>
  <c r="G45" i="3"/>
  <c r="K45" i="3"/>
  <c r="J45" i="3"/>
  <c r="H45" i="3"/>
  <c r="I45" i="3"/>
  <c r="B46" i="3" l="1"/>
  <c r="C46" i="3"/>
  <c r="D46" i="3"/>
  <c r="F46" i="3"/>
  <c r="E46" i="3"/>
  <c r="K46" i="3"/>
  <c r="H46" i="3"/>
  <c r="I46" i="3"/>
  <c r="J46" i="3"/>
  <c r="G46" i="3"/>
  <c r="B47" i="3"/>
  <c r="D47" i="3"/>
  <c r="C47" i="3"/>
  <c r="F47" i="3"/>
  <c r="E47" i="3"/>
  <c r="G47" i="3"/>
  <c r="K47" i="3"/>
  <c r="I47" i="3"/>
  <c r="J47" i="3"/>
  <c r="H47" i="3"/>
  <c r="B48" i="3"/>
  <c r="C48" i="3"/>
  <c r="F48" i="3"/>
  <c r="D48" i="3"/>
  <c r="E48" i="3"/>
  <c r="J48" i="3"/>
  <c r="I48" i="3"/>
  <c r="H48" i="3"/>
  <c r="G48" i="3"/>
  <c r="K48" i="3"/>
  <c r="B49" i="3"/>
  <c r="E49" i="3"/>
  <c r="D49" i="3"/>
  <c r="F49" i="3"/>
  <c r="C49" i="3"/>
  <c r="J49" i="3"/>
  <c r="G49" i="3"/>
  <c r="I49" i="3"/>
  <c r="H49" i="3"/>
  <c r="K49" i="3"/>
  <c r="B50" i="3"/>
  <c r="C50" i="3"/>
  <c r="D50" i="3"/>
  <c r="E50" i="3"/>
  <c r="F50" i="3"/>
  <c r="G50" i="3"/>
  <c r="H50" i="3"/>
  <c r="K50" i="3"/>
  <c r="J50" i="3"/>
  <c r="I50" i="3"/>
  <c r="B51" i="3"/>
  <c r="F51" i="3"/>
  <c r="D51" i="3"/>
  <c r="E51" i="3"/>
  <c r="C51" i="3"/>
  <c r="J51" i="3"/>
  <c r="I51" i="3"/>
  <c r="H51" i="3"/>
  <c r="K51" i="3"/>
  <c r="G51" i="3"/>
  <c r="B52" i="3"/>
  <c r="F52" i="3"/>
  <c r="C52" i="3"/>
  <c r="E52" i="3"/>
  <c r="D52" i="3"/>
  <c r="I52" i="3"/>
  <c r="K52" i="3"/>
  <c r="G52" i="3"/>
  <c r="J52" i="3"/>
  <c r="H52" i="3"/>
  <c r="B53" i="3"/>
  <c r="F53" i="3"/>
  <c r="D53" i="3"/>
  <c r="C53" i="3"/>
  <c r="E53" i="3"/>
  <c r="G53" i="3"/>
  <c r="I53" i="3"/>
  <c r="J53" i="3"/>
  <c r="K53" i="3"/>
  <c r="H53" i="3"/>
  <c r="B54" i="3"/>
  <c r="E54" i="3"/>
  <c r="F54" i="3"/>
  <c r="C54" i="3"/>
  <c r="D54" i="3"/>
  <c r="I54" i="3"/>
  <c r="H54" i="3"/>
  <c r="J54" i="3"/>
  <c r="K54" i="3"/>
  <c r="G54" i="3"/>
  <c r="B55" i="3"/>
  <c r="F55" i="3"/>
  <c r="E55" i="3"/>
  <c r="D55" i="3"/>
  <c r="C55" i="3"/>
  <c r="K55" i="3"/>
  <c r="H55" i="3"/>
  <c r="I55" i="3"/>
  <c r="J55" i="3"/>
  <c r="G55" i="3"/>
  <c r="B56" i="3"/>
  <c r="D56" i="3"/>
  <c r="F56" i="3"/>
  <c r="C56" i="3"/>
  <c r="E56" i="3"/>
  <c r="K56" i="3"/>
  <c r="H56" i="3"/>
  <c r="G56" i="3"/>
  <c r="I56" i="3"/>
  <c r="J56" i="3"/>
  <c r="B57" i="3"/>
  <c r="D57" i="3"/>
  <c r="C57" i="3"/>
  <c r="F57" i="3"/>
  <c r="E57" i="3"/>
  <c r="G57" i="3"/>
  <c r="K57" i="3"/>
  <c r="I57" i="3"/>
  <c r="J57" i="3"/>
  <c r="H57" i="3"/>
  <c r="B58" i="3"/>
  <c r="D58" i="3"/>
  <c r="E58" i="3"/>
  <c r="F58" i="3"/>
  <c r="C58" i="3"/>
  <c r="G58" i="3"/>
  <c r="I58" i="3"/>
  <c r="H58" i="3"/>
  <c r="K58" i="3"/>
  <c r="J58" i="3"/>
  <c r="B59" i="3"/>
  <c r="C59" i="3"/>
  <c r="D59" i="3"/>
  <c r="F59" i="3"/>
  <c r="E59" i="3"/>
  <c r="K59" i="3"/>
  <c r="H59" i="3"/>
  <c r="G59" i="3"/>
  <c r="I59" i="3"/>
  <c r="J59" i="3"/>
  <c r="B60" i="3"/>
  <c r="D60" i="3"/>
  <c r="F60" i="3"/>
  <c r="E60" i="3"/>
  <c r="C60" i="3"/>
  <c r="K60" i="3"/>
  <c r="I60" i="3"/>
  <c r="H60" i="3"/>
  <c r="G60" i="3"/>
  <c r="J60" i="3"/>
  <c r="B61" i="3"/>
  <c r="C61" i="3"/>
  <c r="D61" i="3"/>
  <c r="F61" i="3"/>
  <c r="E61" i="3"/>
  <c r="K61" i="3"/>
  <c r="I61" i="3"/>
  <c r="G61" i="3"/>
  <c r="J61" i="3"/>
  <c r="H61" i="3"/>
  <c r="B62" i="3"/>
  <c r="D62" i="3"/>
  <c r="E62" i="3"/>
  <c r="C62" i="3"/>
  <c r="F62" i="3"/>
  <c r="H62" i="3"/>
  <c r="K62" i="3"/>
  <c r="G62" i="3"/>
  <c r="J62" i="3"/>
  <c r="I62" i="3"/>
  <c r="B63" i="3"/>
  <c r="D63" i="3"/>
  <c r="F63" i="3"/>
  <c r="E63" i="3"/>
  <c r="C63" i="3"/>
  <c r="I63" i="3"/>
  <c r="J63" i="3"/>
  <c r="K63" i="3"/>
  <c r="H63" i="3"/>
  <c r="G63" i="3"/>
  <c r="B64" i="3"/>
  <c r="D64" i="3"/>
  <c r="C64" i="3"/>
  <c r="F64" i="3"/>
  <c r="E64" i="3"/>
  <c r="K64" i="3"/>
  <c r="H64" i="3"/>
  <c r="G64" i="3"/>
  <c r="J64" i="3"/>
  <c r="I64" i="3"/>
  <c r="B65" i="3"/>
  <c r="D65" i="3"/>
  <c r="E65" i="3"/>
  <c r="F65" i="3"/>
  <c r="C65" i="3"/>
  <c r="I65" i="3"/>
  <c r="H65" i="3"/>
  <c r="G65" i="3"/>
  <c r="K65" i="3"/>
  <c r="J65" i="3"/>
  <c r="B66" i="3"/>
  <c r="E66" i="3"/>
  <c r="D66" i="3"/>
  <c r="C66" i="3"/>
  <c r="F66" i="3"/>
  <c r="H66" i="3"/>
  <c r="I66" i="3"/>
  <c r="J66" i="3"/>
  <c r="K66" i="3"/>
  <c r="G66" i="3"/>
  <c r="F67" i="3"/>
  <c r="B67" i="3"/>
  <c r="E67" i="3"/>
  <c r="C67" i="3"/>
  <c r="D67" i="3"/>
  <c r="J67" i="3"/>
  <c r="H67" i="3"/>
  <c r="K67" i="3"/>
  <c r="I67" i="3"/>
  <c r="G67" i="3"/>
  <c r="D68" i="3"/>
  <c r="C68" i="3"/>
  <c r="B68" i="3"/>
  <c r="E68" i="3"/>
  <c r="F68" i="3"/>
  <c r="G68" i="3"/>
  <c r="H68" i="3"/>
  <c r="I68" i="3"/>
  <c r="J68" i="3"/>
  <c r="K68" i="3"/>
  <c r="F69" i="3"/>
  <c r="E69" i="3"/>
  <c r="B69" i="3"/>
  <c r="C69" i="3"/>
  <c r="D69" i="3"/>
  <c r="J69" i="3"/>
  <c r="K69" i="3"/>
  <c r="I69" i="3"/>
  <c r="G69" i="3"/>
  <c r="H69" i="3"/>
  <c r="F70" i="3"/>
  <c r="E70" i="3"/>
  <c r="D70" i="3"/>
  <c r="B70" i="3"/>
  <c r="C70" i="3"/>
  <c r="I70" i="3"/>
  <c r="J70" i="3"/>
  <c r="K70" i="3"/>
  <c r="H70" i="3"/>
  <c r="G70" i="3"/>
  <c r="D71" i="3"/>
  <c r="C71" i="3"/>
  <c r="E71" i="3"/>
  <c r="B71" i="3"/>
  <c r="F71" i="3"/>
  <c r="K71" i="3"/>
  <c r="H71" i="3"/>
  <c r="G71" i="3"/>
  <c r="I71" i="3"/>
  <c r="J71" i="3"/>
  <c r="C72" i="3"/>
  <c r="E72" i="3"/>
  <c r="B72" i="3"/>
  <c r="F72" i="3"/>
  <c r="D72" i="3"/>
  <c r="H72" i="3"/>
  <c r="K72" i="3"/>
  <c r="I72" i="3"/>
  <c r="G72" i="3"/>
  <c r="J72" i="3"/>
  <c r="D73" i="3"/>
  <c r="C73" i="3"/>
  <c r="F73" i="3"/>
  <c r="B73" i="3"/>
  <c r="E73" i="3"/>
  <c r="J73" i="3"/>
  <c r="I73" i="3"/>
  <c r="G73" i="3"/>
  <c r="K73" i="3"/>
  <c r="H73" i="3"/>
  <c r="D74" i="3"/>
  <c r="E74" i="3"/>
  <c r="B74" i="3"/>
  <c r="C74" i="3"/>
  <c r="F74" i="3"/>
  <c r="I74" i="3"/>
  <c r="G74" i="3"/>
  <c r="H74" i="3"/>
  <c r="J74" i="3"/>
  <c r="K74" i="3"/>
  <c r="B75" i="3"/>
  <c r="C75" i="3"/>
  <c r="D75" i="3"/>
  <c r="E75" i="3"/>
  <c r="F75" i="3"/>
  <c r="H75" i="3"/>
  <c r="G75" i="3"/>
  <c r="J75" i="3"/>
  <c r="K75" i="3"/>
  <c r="I75" i="3"/>
  <c r="E76" i="3"/>
  <c r="C76" i="3"/>
  <c r="D76" i="3"/>
  <c r="F76" i="3"/>
  <c r="B76" i="3"/>
  <c r="G76" i="3"/>
  <c r="J76" i="3"/>
  <c r="H76" i="3"/>
  <c r="I76" i="3"/>
  <c r="K76" i="3"/>
  <c r="D77" i="3"/>
  <c r="C77" i="3"/>
  <c r="E77" i="3"/>
  <c r="B77" i="3"/>
  <c r="F77" i="3"/>
  <c r="I77" i="3"/>
  <c r="G77" i="3"/>
  <c r="J77" i="3"/>
  <c r="H77" i="3"/>
  <c r="K77" i="3"/>
  <c r="D78" i="3"/>
  <c r="E78" i="3"/>
  <c r="C78" i="3"/>
  <c r="B78" i="3"/>
  <c r="F78" i="3"/>
  <c r="H78" i="3"/>
  <c r="J78" i="3"/>
  <c r="G78" i="3"/>
  <c r="K78" i="3"/>
  <c r="I78" i="3"/>
  <c r="E79" i="3"/>
  <c r="C79" i="3"/>
  <c r="B79" i="3"/>
  <c r="F79" i="3"/>
  <c r="D79" i="3"/>
  <c r="J79" i="3"/>
  <c r="H79" i="3"/>
  <c r="I79" i="3"/>
  <c r="K79" i="3"/>
  <c r="G79" i="3"/>
  <c r="F80" i="3"/>
  <c r="E80" i="3"/>
  <c r="B80" i="3"/>
  <c r="C80" i="3"/>
  <c r="D80" i="3"/>
  <c r="J80" i="3"/>
  <c r="K80" i="3"/>
  <c r="H80" i="3"/>
  <c r="G80" i="3"/>
  <c r="I80" i="3"/>
  <c r="D81" i="3"/>
  <c r="C81" i="3"/>
  <c r="B81" i="3"/>
  <c r="E81" i="3"/>
  <c r="F81" i="3"/>
  <c r="I81" i="3"/>
  <c r="J81" i="3"/>
  <c r="G81" i="3"/>
  <c r="K81" i="3"/>
  <c r="H81" i="3"/>
  <c r="C82" i="3"/>
  <c r="E82" i="3"/>
  <c r="D82" i="3"/>
  <c r="B82" i="3"/>
  <c r="F82" i="3"/>
  <c r="G82" i="3"/>
  <c r="H82" i="3"/>
  <c r="I82" i="3"/>
  <c r="J82" i="3"/>
  <c r="K82" i="3"/>
  <c r="B83" i="3"/>
  <c r="D83" i="3"/>
  <c r="E83" i="3"/>
  <c r="C83" i="3"/>
  <c r="F83" i="3"/>
  <c r="K83" i="3"/>
  <c r="G83" i="3"/>
  <c r="I83" i="3"/>
  <c r="H83" i="3"/>
  <c r="J83" i="3"/>
  <c r="E84" i="3"/>
  <c r="F84" i="3"/>
  <c r="D84" i="3"/>
  <c r="B84" i="3"/>
  <c r="C84" i="3"/>
  <c r="K84" i="3"/>
  <c r="J84" i="3"/>
  <c r="I84" i="3"/>
  <c r="G84" i="3"/>
  <c r="H84" i="3"/>
  <c r="B85" i="3"/>
  <c r="E85" i="3"/>
  <c r="D85" i="3"/>
  <c r="C85" i="3"/>
  <c r="F85" i="3"/>
  <c r="G85" i="3"/>
  <c r="K85" i="3"/>
  <c r="J85" i="3"/>
  <c r="H85" i="3"/>
  <c r="I85" i="3"/>
  <c r="E86" i="3"/>
  <c r="F86" i="3"/>
  <c r="D86" i="3"/>
  <c r="C86" i="3"/>
  <c r="B86" i="3"/>
  <c r="K86" i="3"/>
  <c r="H86" i="3"/>
  <c r="G86" i="3"/>
  <c r="J86" i="3"/>
  <c r="I86" i="3"/>
  <c r="E87" i="3"/>
  <c r="C87" i="3"/>
  <c r="D87" i="3"/>
  <c r="B87" i="3"/>
  <c r="F87" i="3"/>
  <c r="H87" i="3"/>
  <c r="K87" i="3"/>
  <c r="J87" i="3"/>
  <c r="G87" i="3"/>
  <c r="I87" i="3"/>
  <c r="F88" i="3"/>
  <c r="D88" i="3"/>
  <c r="B88" i="3"/>
  <c r="E88" i="3"/>
  <c r="C88" i="3"/>
  <c r="G88" i="3"/>
  <c r="H88" i="3"/>
  <c r="K88" i="3"/>
  <c r="I88" i="3"/>
  <c r="J88" i="3"/>
  <c r="B89" i="3"/>
  <c r="C89" i="3"/>
  <c r="D89" i="3"/>
  <c r="F89" i="3"/>
  <c r="E89" i="3"/>
  <c r="H89" i="3"/>
  <c r="G89" i="3"/>
  <c r="J89" i="3"/>
  <c r="I89" i="3"/>
  <c r="K89" i="3"/>
  <c r="B90" i="3"/>
  <c r="C90" i="3"/>
  <c r="D90" i="3"/>
  <c r="F90" i="3"/>
  <c r="E90" i="3"/>
  <c r="I90" i="3"/>
  <c r="G90" i="3"/>
  <c r="H90" i="3"/>
  <c r="J90" i="3"/>
  <c r="K90" i="3"/>
  <c r="B91" i="3"/>
  <c r="E91" i="3"/>
  <c r="C91" i="3"/>
  <c r="F91" i="3"/>
  <c r="D91" i="3"/>
  <c r="H91" i="3"/>
  <c r="I91" i="3"/>
  <c r="K91" i="3"/>
  <c r="G91" i="3"/>
  <c r="J91" i="3"/>
  <c r="F92" i="3"/>
  <c r="E92" i="3"/>
  <c r="B92" i="3"/>
  <c r="C92" i="3"/>
  <c r="D92" i="3"/>
  <c r="G92" i="3"/>
  <c r="J92" i="3"/>
  <c r="H92" i="3"/>
  <c r="K92" i="3"/>
  <c r="I92" i="3"/>
  <c r="E93" i="3"/>
  <c r="B93" i="3"/>
  <c r="D93" i="3"/>
  <c r="F93" i="3"/>
  <c r="C93" i="3"/>
  <c r="K93" i="3"/>
  <c r="I93" i="3"/>
  <c r="G93" i="3"/>
  <c r="H93" i="3"/>
  <c r="J93" i="3"/>
  <c r="E94" i="3"/>
  <c r="D94" i="3"/>
  <c r="F94" i="3"/>
  <c r="C94" i="3"/>
  <c r="B94" i="3"/>
  <c r="J94" i="3"/>
  <c r="K94" i="3"/>
  <c r="I94" i="3"/>
  <c r="G94" i="3"/>
  <c r="H94" i="3"/>
  <c r="C95" i="3"/>
  <c r="F95" i="3"/>
  <c r="B95" i="3"/>
  <c r="E95" i="3"/>
  <c r="D95" i="3"/>
  <c r="K95" i="3"/>
  <c r="J95" i="3"/>
  <c r="H95" i="3"/>
  <c r="G95" i="3"/>
  <c r="I95" i="3"/>
  <c r="D96" i="3"/>
  <c r="F96" i="3"/>
  <c r="B96" i="3"/>
  <c r="C96" i="3"/>
  <c r="E96" i="3"/>
  <c r="J96" i="3"/>
  <c r="G96" i="3"/>
  <c r="H96" i="3"/>
  <c r="I96" i="3"/>
  <c r="K9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José Aniceto</author>
  </authors>
  <commentList>
    <comment ref="B5" authorId="0" shapeId="0" xr:uid="{3E51EA34-3D75-4605-8330-4B1CF4826B62}">
      <text>
        <r>
          <rPr>
            <b/>
            <sz val="9"/>
            <color indexed="81"/>
            <rFont val="Tahoma"/>
            <family val="2"/>
          </rPr>
          <t>José Aniceto:</t>
        </r>
        <r>
          <rPr>
            <sz val="9"/>
            <color indexed="81"/>
            <rFont val="Tahoma"/>
            <family val="2"/>
          </rPr>
          <t xml:space="preserve">
SatHumRatio (g_H2O/kg_Air)</t>
        </r>
      </text>
    </comment>
  </commentList>
</comments>
</file>

<file path=xl/sharedStrings.xml><?xml version="1.0" encoding="utf-8"?>
<sst xmlns="http://schemas.openxmlformats.org/spreadsheetml/2006/main" count="28" uniqueCount="27">
  <si>
    <t>Tdb (ºC)</t>
  </si>
  <si>
    <t>Patm</t>
  </si>
  <si>
    <t>Pa</t>
  </si>
  <si>
    <t>Psychrometrics</t>
  </si>
  <si>
    <t>Uses:</t>
  </si>
  <si>
    <t>PsychroLib: https://github.com/psychrometrics/psychrolib</t>
  </si>
  <si>
    <t>Created by José Aniceto</t>
  </si>
  <si>
    <t>Version 1.0</t>
  </si>
  <si>
    <t>November 2019</t>
  </si>
  <si>
    <t>Relative humidity lines (%)</t>
  </si>
  <si>
    <t>Moist air enthalpy lines (KJ/kg)</t>
  </si>
  <si>
    <t>Wet-bulb temperature (ºC)</t>
  </si>
  <si>
    <t>Vapor pressure (KPa)</t>
  </si>
  <si>
    <t>Ha margin for lines</t>
  </si>
  <si>
    <t>Tdb</t>
  </si>
  <si>
    <t>Twb</t>
  </si>
  <si>
    <t>Hr</t>
  </si>
  <si>
    <t xml:space="preserve">Ha </t>
  </si>
  <si>
    <t>Relative humidity</t>
  </si>
  <si>
    <t>Absolute humidity</t>
  </si>
  <si>
    <t>Wet-bulb temperature</t>
  </si>
  <si>
    <t>Dry-bulb temperature</t>
  </si>
  <si>
    <t>H</t>
  </si>
  <si>
    <t>Enthalpy</t>
  </si>
  <si>
    <t>pv</t>
  </si>
  <si>
    <t>Vapor pressure</t>
  </si>
  <si>
    <t>NOMENCLATURE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</si>
</sst>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000"/>
    <numFmt numFmtId="167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6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 tint="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</cellStyleXfs>
  <cellXfs count="16">
    <xf numFmtId="0" fontId="0" fillId="0" borderId="0" xfId="0"/>
    <xf numFmtId="0" fontId="3" fillId="0" borderId="0" xfId="0" applyFont="1"/>
    <xf numFmtId="167" fontId="0" fillId="0" borderId="0" xfId="0" applyNumberFormat="1"/>
    <xf numFmtId="0" fontId="3" fillId="0" borderId="0" xfId="0" applyFont="1" applyAlignment="1">
      <alignment horizontal="right"/>
    </xf>
    <xf numFmtId="1" fontId="0" fillId="0" borderId="0" xfId="0" applyNumberFormat="1"/>
    <xf numFmtId="0" fontId="2" fillId="0" borderId="0" xfId="1"/>
    <xf numFmtId="0" fontId="7" fillId="0" borderId="0" xfId="0" applyFont="1"/>
    <xf numFmtId="0" fontId="8" fillId="0" borderId="0" xfId="0" applyFont="1"/>
    <xf numFmtId="0" fontId="1" fillId="2" borderId="0" xfId="2" applyFont="1" applyBorder="1" applyAlignment="1">
      <alignment horizontal="center"/>
    </xf>
    <xf numFmtId="0" fontId="1" fillId="5" borderId="0" xfId="5" applyFont="1" applyAlignment="1">
      <alignment horizontal="center"/>
    </xf>
    <xf numFmtId="164" fontId="9" fillId="0" borderId="0" xfId="0" applyNumberFormat="1" applyFont="1"/>
    <xf numFmtId="165" fontId="9" fillId="0" borderId="0" xfId="0" applyNumberFormat="1" applyFont="1"/>
    <xf numFmtId="0" fontId="1" fillId="3" borderId="0" xfId="3" applyFont="1" applyAlignment="1">
      <alignment horizontal="center"/>
    </xf>
    <xf numFmtId="167" fontId="9" fillId="0" borderId="0" xfId="0" applyNumberFormat="1" applyFont="1"/>
    <xf numFmtId="0" fontId="1" fillId="4" borderId="0" xfId="4" applyFont="1" applyAlignment="1">
      <alignment horizontal="center"/>
    </xf>
    <xf numFmtId="0" fontId="2" fillId="0" borderId="0" xfId="1" quotePrefix="1"/>
  </cellXfs>
  <cellStyles count="6">
    <cellStyle name="Accent1" xfId="2" builtinId="29"/>
    <cellStyle name="Accent2" xfId="3" builtinId="33"/>
    <cellStyle name="Accent4" xfId="4" builtinId="41"/>
    <cellStyle name="Accent6" xfId="5" builtinId="49"/>
    <cellStyle name="Explanatory Text" xfId="1" builtinId="5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Psychrometric</a:t>
            </a:r>
            <a:r>
              <a:rPr lang="pt-PT" baseline="0"/>
              <a:t> Chart</a:t>
            </a:r>
            <a:endParaRPr lang="pt-P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Psychrometrics!$B$5</c:f>
              <c:strCache>
                <c:ptCount val="1"/>
                <c:pt idx="0">
                  <c:v>Hr = 100%</c:v>
                </c:pt>
              </c:strCache>
            </c:strRef>
          </c:tx>
          <c:spPr>
            <a:ln w="19050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Psychrometrics!$B$6:$B$96</c:f>
              <c:numCache>
                <c:formatCode>0.00000</c:formatCode>
                <c:ptCount val="91"/>
                <c:pt idx="0">
                  <c:v>3.7740978140002555</c:v>
                </c:pt>
                <c:pt idx="1">
                  <c:v>3.9146705336048533</c:v>
                </c:pt>
                <c:pt idx="2">
                  <c:v>4.0595100804605115</c:v>
                </c:pt>
                <c:pt idx="3">
                  <c:v>4.2091191597110251</c:v>
                </c:pt>
                <c:pt idx="4">
                  <c:v>4.363635463664969</c:v>
                </c:pt>
                <c:pt idx="5">
                  <c:v>4.5232001498371579</c:v>
                </c:pt>
                <c:pt idx="6">
                  <c:v>4.6879579206619875</c:v>
                </c:pt>
                <c:pt idx="7">
                  <c:v>4.858057105261139</c:v>
                </c:pt>
                <c:pt idx="8">
                  <c:v>5.0336497433405238</c:v>
                </c:pt>
                <c:pt idx="9">
                  <c:v>5.2148916712973863</c:v>
                </c:pt>
                <c:pt idx="10">
                  <c:v>5.401942610620365</c:v>
                </c:pt>
                <c:pt idx="11">
                  <c:v>5.5949662586693272</c:v>
                </c:pt>
                <c:pt idx="12">
                  <c:v>5.7941303819273706</c:v>
                </c:pt>
                <c:pt idx="13">
                  <c:v>5.9996069118198205</c:v>
                </c:pt>
                <c:pt idx="14">
                  <c:v>6.2115720432011914</c:v>
                </c:pt>
                <c:pt idx="15">
                  <c:v>6.4302063356136605</c:v>
                </c:pt>
                <c:pt idx="16">
                  <c:v>6.6556948174288815</c:v>
                </c:pt>
                <c:pt idx="17">
                  <c:v>6.888227092986428</c:v>
                </c:pt>
                <c:pt idx="18">
                  <c:v>7.1279974528507113</c:v>
                </c:pt>
                <c:pt idx="19">
                  <c:v>7.3752049873116698</c:v>
                </c:pt>
                <c:pt idx="20">
                  <c:v>7.6300537032615861</c:v>
                </c:pt>
                <c:pt idx="21">
                  <c:v>7.8927526445880645</c:v>
                </c:pt>
                <c:pt idx="22">
                  <c:v>8.1635160162261524</c:v>
                </c:pt>
                <c:pt idx="23">
                  <c:v>8.4425633120231769</c:v>
                </c:pt>
                <c:pt idx="24">
                  <c:v>8.7301194465758751</c:v>
                </c:pt>
                <c:pt idx="25">
                  <c:v>9.0264148912060929</c:v>
                </c:pt>
                <c:pt idx="26">
                  <c:v>9.3316858142510473</c:v>
                </c:pt>
                <c:pt idx="27">
                  <c:v>9.6461742258513947</c:v>
                </c:pt>
                <c:pt idx="28">
                  <c:v>9.9701281274307547</c:v>
                </c:pt>
                <c:pt idx="29">
                  <c:v>10.303801666067232</c:v>
                </c:pt>
                <c:pt idx="30">
                  <c:v>10.647455293969347</c:v>
                </c:pt>
                <c:pt idx="31">
                  <c:v>11.001355933281021</c:v>
                </c:pt>
                <c:pt idx="32">
                  <c:v>11.365777146443568</c:v>
                </c:pt>
                <c:pt idx="33">
                  <c:v>11.740999312367261</c:v>
                </c:pt>
                <c:pt idx="34">
                  <c:v>12.127309808660099</c:v>
                </c:pt>
                <c:pt idx="35">
                  <c:v>12.525003200193002</c:v>
                </c:pt>
                <c:pt idx="36">
                  <c:v>12.93438143427635</c:v>
                </c:pt>
                <c:pt idx="37">
                  <c:v>13.355754042752379</c:v>
                </c:pt>
                <c:pt idx="38">
                  <c:v>13.789438351310405</c:v>
                </c:pt>
                <c:pt idx="39">
                  <c:v>14.235759696355814</c:v>
                </c:pt>
                <c:pt idx="40">
                  <c:v>14.69505164977836</c:v>
                </c:pt>
                <c:pt idx="41">
                  <c:v>15.167656251980508</c:v>
                </c:pt>
                <c:pt idx="42">
                  <c:v>15.653924253548352</c:v>
                </c:pt>
                <c:pt idx="43">
                  <c:v>16.154215365965189</c:v>
                </c:pt>
                <c:pt idx="44">
                  <c:v>16.668898521790673</c:v>
                </c:pt>
                <c:pt idx="45">
                  <c:v>17.198352144748153</c:v>
                </c:pt>
                <c:pt idx="46">
                  <c:v>17.742964430187961</c:v>
                </c:pt>
                <c:pt idx="47">
                  <c:v>18.303133636416533</c:v>
                </c:pt>
                <c:pt idx="48">
                  <c:v>18.879268387412303</c:v>
                </c:pt>
                <c:pt idx="49">
                  <c:v>19.47178798746981</c:v>
                </c:pt>
                <c:pt idx="50">
                  <c:v>20.081122748349607</c:v>
                </c:pt>
                <c:pt idx="51">
                  <c:v>20.707714329536405</c:v>
                </c:pt>
                <c:pt idx="52">
                  <c:v>21.352016092248125</c:v>
                </c:pt>
                <c:pt idx="53">
                  <c:v>22.014493467862351</c:v>
                </c:pt>
                <c:pt idx="54">
                  <c:v>22.695624341477814</c:v>
                </c:pt>
                <c:pt idx="55">
                  <c:v>23.395899451354062</c:v>
                </c:pt>
                <c:pt idx="56">
                  <c:v>24.115822805024301</c:v>
                </c:pt>
                <c:pt idx="57">
                  <c:v>24.855912112913323</c:v>
                </c:pt>
                <c:pt idx="58">
                  <c:v>25.616699240346719</c:v>
                </c:pt>
                <c:pt idx="59">
                  <c:v>26.398730678879389</c:v>
                </c:pt>
                <c:pt idx="60">
                  <c:v>27.202568037933922</c:v>
                </c:pt>
                <c:pt idx="61">
                  <c:v>28.028788557785514</c:v>
                </c:pt>
                <c:pt idx="62">
                  <c:v>28.877985645001328</c:v>
                </c:pt>
                <c:pt idx="63">
                  <c:v>29.750769431498068</c:v>
                </c:pt>
                <c:pt idx="64">
                  <c:v>30.647767358452739</c:v>
                </c:pt>
                <c:pt idx="65">
                  <c:v>31.569624786380547</c:v>
                </c:pt>
                <c:pt idx="66">
                  <c:v>32.517005632757332</c:v>
                </c:pt>
                <c:pt idx="67">
                  <c:v>33.490593038665587</c:v>
                </c:pt>
                <c:pt idx="68">
                  <c:v>34.49109006601735</c:v>
                </c:pt>
                <c:pt idx="69">
                  <c:v>35.519220427008904</c:v>
                </c:pt>
                <c:pt idx="70">
                  <c:v>36.575729247562727</c:v>
                </c:pt>
                <c:pt idx="71">
                  <c:v>37.661383866621151</c:v>
                </c:pt>
                <c:pt idx="72">
                  <c:v>38.776974673269848</c:v>
                </c:pt>
                <c:pt idx="73">
                  <c:v>39.923315983799881</c:v>
                </c:pt>
                <c:pt idx="74">
                  <c:v>41.101246960939875</c:v>
                </c:pt>
                <c:pt idx="75">
                  <c:v>42.311632577645497</c:v>
                </c:pt>
                <c:pt idx="76">
                  <c:v>43.555364627976736</c:v>
                </c:pt>
                <c:pt idx="77">
                  <c:v>44.83336278776116</c:v>
                </c:pt>
                <c:pt idx="78">
                  <c:v>46.146575727923157</c:v>
                </c:pt>
                <c:pt idx="79">
                  <c:v>47.495982283536762</c:v>
                </c:pt>
                <c:pt idx="80">
                  <c:v>48.882592681875735</c:v>
                </c:pt>
                <c:pt idx="81">
                  <c:v>50.307449832952429</c:v>
                </c:pt>
                <c:pt idx="82">
                  <c:v>51.771630686259471</c:v>
                </c:pt>
                <c:pt idx="83">
                  <c:v>53.276247657703919</c:v>
                </c:pt>
                <c:pt idx="84">
                  <c:v>54.822450130979774</c:v>
                </c:pt>
                <c:pt idx="85">
                  <c:v>56.411426037929672</c:v>
                </c:pt>
                <c:pt idx="86">
                  <c:v>58.04440352276152</c:v>
                </c:pt>
                <c:pt idx="87">
                  <c:v>59.722652695332897</c:v>
                </c:pt>
                <c:pt idx="88">
                  <c:v>61.447487479080429</c:v>
                </c:pt>
                <c:pt idx="89">
                  <c:v>63.220267559590063</c:v>
                </c:pt>
                <c:pt idx="90">
                  <c:v>65.042400440210344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86-47A4-9C12-9037D0719878}"/>
            </c:ext>
          </c:extLst>
        </c:ser>
        <c:ser>
          <c:idx val="1"/>
          <c:order val="1"/>
          <c:tx>
            <c:strRef>
              <c:f>Psychrometrics!$C$5</c:f>
              <c:strCache>
                <c:ptCount val="1"/>
                <c:pt idx="0">
                  <c:v>Hr = 90%</c:v>
                </c:pt>
              </c:strCache>
            </c:strRef>
          </c:tx>
          <c:spPr>
            <a:ln w="19050" cap="rnd">
              <a:solidFill>
                <a:schemeClr val="tx1">
                  <a:lumMod val="75000"/>
                  <a:lumOff val="25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7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7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PT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B386-47A4-9C12-9037D07198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Psychrometrics!$C$6:$C$96</c:f>
              <c:numCache>
                <c:formatCode>0.0000</c:formatCode>
                <c:ptCount val="91"/>
                <c:pt idx="0">
                  <c:v>3.394628098283679</c:v>
                </c:pt>
                <c:pt idx="1">
                  <c:v>3.5209872866612879</c:v>
                </c:pt>
                <c:pt idx="2">
                  <c:v>3.651175905832968</c:v>
                </c:pt>
                <c:pt idx="3">
                  <c:v>3.78564524357486</c:v>
                </c:pt>
                <c:pt idx="4">
                  <c:v>3.9245184314106347</c:v>
                </c:pt>
                <c:pt idx="5">
                  <c:v>4.0679216700522938</c:v>
                </c:pt>
                <c:pt idx="6">
                  <c:v>4.2159842982435327</c:v>
                </c:pt>
                <c:pt idx="7">
                  <c:v>4.3688388632922841</c:v>
                </c:pt>
                <c:pt idx="8">
                  <c:v>4.52662119335137</c:v>
                </c:pt>
                <c:pt idx="9">
                  <c:v>4.6894704715112736</c:v>
                </c:pt>
                <c:pt idx="10">
                  <c:v>4.8575293117701657</c:v>
                </c:pt>
                <c:pt idx="11">
                  <c:v>5.0309438369495467</c:v>
                </c:pt>
                <c:pt idx="12">
                  <c:v>5.2098637586283019</c:v>
                </c:pt>
                <c:pt idx="13">
                  <c:v>5.3944424591696301</c:v>
                </c:pt>
                <c:pt idx="14">
                  <c:v>5.5848370759202606</c:v>
                </c:pt>
                <c:pt idx="15">
                  <c:v>5.7812085876630972</c:v>
                </c:pt>
                <c:pt idx="16">
                  <c:v>5.9837219034112001</c:v>
                </c:pt>
                <c:pt idx="17">
                  <c:v>6.1925459536316918</c:v>
                </c:pt>
                <c:pt idx="18">
                  <c:v>6.4078537839951393</c:v>
                </c:pt>
                <c:pt idx="19">
                  <c:v>6.629822651748281</c:v>
                </c:pt>
                <c:pt idx="20">
                  <c:v>6.8586341248135945</c:v>
                </c:pt>
                <c:pt idx="21">
                  <c:v>7.094474183725147</c:v>
                </c:pt>
                <c:pt idx="22">
                  <c:v>7.3375333265120544</c:v>
                </c:pt>
                <c:pt idx="23">
                  <c:v>7.5880066766493215</c:v>
                </c:pt>
                <c:pt idx="24">
                  <c:v>7.8460940942003328</c:v>
                </c:pt>
                <c:pt idx="25">
                  <c:v>8.1120002902801573</c:v>
                </c:pt>
                <c:pt idx="26">
                  <c:v>8.3859349449764942</c:v>
                </c:pt>
                <c:pt idx="27">
                  <c:v>8.6681128288703473</c:v>
                </c:pt>
                <c:pt idx="28">
                  <c:v>8.9587539283066739</c:v>
                </c:pt>
                <c:pt idx="29">
                  <c:v>9.2580835745700067</c:v>
                </c:pt>
                <c:pt idx="30">
                  <c:v>9.566332577129435</c:v>
                </c:pt>
                <c:pt idx="31">
                  <c:v>9.8837373611266823</c:v>
                </c:pt>
                <c:pt idx="32">
                  <c:v>10.210540109282439</c:v>
                </c:pt>
                <c:pt idx="33">
                  <c:v>10.546988908416507</c:v>
                </c:pt>
                <c:pt idx="34">
                  <c:v>10.893337900771114</c:v>
                </c:pt>
                <c:pt idx="35">
                  <c:v>11.24984744035312</c:v>
                </c:pt>
                <c:pt idx="36">
                  <c:v>11.616784254505072</c:v>
                </c:pt>
                <c:pt idx="37">
                  <c:v>11.994421610939213</c:v>
                </c:pt>
                <c:pt idx="38">
                  <c:v>12.383039490468787</c:v>
                </c:pt>
                <c:pt idx="39">
                  <c:v>12.782924765689764</c:v>
                </c:pt>
                <c:pt idx="40">
                  <c:v>13.194371385876691</c:v>
                </c:pt>
                <c:pt idx="41">
                  <c:v>13.61768056836728</c:v>
                </c:pt>
                <c:pt idx="42">
                  <c:v>14.053160996726799</c:v>
                </c:pt>
                <c:pt idx="43">
                  <c:v>14.501129025996089</c:v>
                </c:pt>
                <c:pt idx="44">
                  <c:v>14.961908895343985</c:v>
                </c:pt>
                <c:pt idx="45">
                  <c:v>15.435832948459018</c:v>
                </c:pt>
                <c:pt idx="46">
                  <c:v>15.923241862034091</c:v>
                </c:pt>
                <c:pt idx="47">
                  <c:v>16.424484882713443</c:v>
                </c:pt>
                <c:pt idx="48">
                  <c:v>16.939920072894679</c:v>
                </c:pt>
                <c:pt idx="49">
                  <c:v>17.469914565792454</c:v>
                </c:pt>
                <c:pt idx="50">
                  <c:v>18.014844830197688</c:v>
                </c:pt>
                <c:pt idx="51">
                  <c:v>18.575096945383148</c:v>
                </c:pt>
                <c:pt idx="52">
                  <c:v>19.151066886636627</c:v>
                </c:pt>
                <c:pt idx="53">
                  <c:v>19.743160821917986</c:v>
                </c:pt>
                <c:pt idx="54">
                  <c:v>20.351795420175876</c:v>
                </c:pt>
                <c:pt idx="55">
                  <c:v>20.977398171875556</c:v>
                </c:pt>
                <c:pt idx="56">
                  <c:v>21.620407722328103</c:v>
                </c:pt>
                <c:pt idx="57">
                  <c:v>22.281274218436632</c:v>
                </c:pt>
                <c:pt idx="58">
                  <c:v>22.960459669514652</c:v>
                </c:pt>
                <c:pt idx="59">
                  <c:v>23.658438322860174</c:v>
                </c:pt>
                <c:pt idx="60">
                  <c:v>24.375697054815085</c:v>
                </c:pt>
                <c:pt idx="61">
                  <c:v>25.112735778069791</c:v>
                </c:pt>
                <c:pt idx="62">
                  <c:v>25.870067866025593</c:v>
                </c:pt>
                <c:pt idx="63">
                  <c:v>26.648220595064529</c:v>
                </c:pt>
                <c:pt idx="64">
                  <c:v>27.447735605627251</c:v>
                </c:pt>
                <c:pt idx="65">
                  <c:v>28.269169383055313</c:v>
                </c:pt>
                <c:pt idx="66">
                  <c:v>29.113093759196158</c:v>
                </c:pt>
                <c:pt idx="67">
                  <c:v>29.980096435842889</c:v>
                </c:pt>
                <c:pt idx="68">
                  <c:v>30.870781531129587</c:v>
                </c:pt>
                <c:pt idx="69">
                  <c:v>31.785770150074644</c:v>
                </c:pt>
                <c:pt idx="70">
                  <c:v>32.725700980533318</c:v>
                </c:pt>
                <c:pt idx="71">
                  <c:v>33.691230915895879</c:v>
                </c:pt>
                <c:pt idx="72">
                  <c:v>34.683035705945031</c:v>
                </c:pt>
                <c:pt idx="73">
                  <c:v>35.701810637376298</c:v>
                </c:pt>
                <c:pt idx="74">
                  <c:v>36.748271245567388</c:v>
                </c:pt>
                <c:pt idx="75">
                  <c:v>37.823154059289685</c:v>
                </c:pt>
                <c:pt idx="76">
                  <c:v>38.927217380150644</c:v>
                </c:pt>
                <c:pt idx="77">
                  <c:v>40.061242098669346</c:v>
                </c:pt>
                <c:pt idx="78">
                  <c:v>41.226032549010561</c:v>
                </c:pt>
                <c:pt idx="79">
                  <c:v>42.422417404519479</c:v>
                </c:pt>
                <c:pt idx="80">
                  <c:v>43.651250616345422</c:v>
                </c:pt>
                <c:pt idx="81">
                  <c:v>44.913412397588523</c:v>
                </c:pt>
                <c:pt idx="82">
                  <c:v>46.209810255546479</c:v>
                </c:pt>
                <c:pt idx="83">
                  <c:v>47.541380074826627</c:v>
                </c:pt>
                <c:pt idx="84">
                  <c:v>48.909087254252704</c:v>
                </c:pt>
                <c:pt idx="85">
                  <c:v>50.313927900697578</c:v>
                </c:pt>
                <c:pt idx="86">
                  <c:v>51.756930083179036</c:v>
                </c:pt>
                <c:pt idx="87">
                  <c:v>53.23915515078123</c:v>
                </c:pt>
                <c:pt idx="88">
                  <c:v>54.761699118200376</c:v>
                </c:pt>
                <c:pt idx="89">
                  <c:v>56.325694122986498</c:v>
                </c:pt>
                <c:pt idx="90">
                  <c:v>57.932309958808638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86-47A4-9C12-9037D0719878}"/>
            </c:ext>
          </c:extLst>
        </c:ser>
        <c:ser>
          <c:idx val="2"/>
          <c:order val="2"/>
          <c:tx>
            <c:strRef>
              <c:f>Psychrometrics!$D$5</c:f>
              <c:strCache>
                <c:ptCount val="1"/>
                <c:pt idx="0">
                  <c:v>Hr = 80%</c:v>
                </c:pt>
              </c:strCache>
            </c:strRef>
          </c:tx>
          <c:spPr>
            <a:ln w="19050" cap="rnd">
              <a:solidFill>
                <a:schemeClr val="tx1">
                  <a:lumMod val="75000"/>
                  <a:lumOff val="25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Psychrometrics!$D$6:$D$96</c:f>
              <c:numCache>
                <c:formatCode>0.0000</c:formatCode>
                <c:ptCount val="91"/>
                <c:pt idx="0">
                  <c:v>3.0156183653002175</c:v>
                </c:pt>
                <c:pt idx="1">
                  <c:v>3.1277990039298516</c:v>
                </c:pt>
                <c:pt idx="2">
                  <c:v>3.24337408554553</c:v>
                </c:pt>
                <c:pt idx="3">
                  <c:v>3.3627437390909134</c:v>
                </c:pt>
                <c:pt idx="4">
                  <c:v>3.486016714543545</c:v>
                </c:pt>
                <c:pt idx="5">
                  <c:v>3.6133044463894937</c:v>
                </c:pt>
                <c:pt idx="6">
                  <c:v>3.7447211122737616</c:v>
                </c:pt>
                <c:pt idx="7">
                  <c:v>3.8803836930132327</c:v>
                </c:pt>
                <c:pt idx="8">
                  <c:v>4.0204120340173279</c:v>
                </c:pt>
                <c:pt idx="9">
                  <c:v>4.1649289081656642</c:v>
                </c:pt>
                <c:pt idx="10">
                  <c:v>4.3140600801926743</c:v>
                </c:pt>
                <c:pt idx="11">
                  <c:v>4.4679343726315208</c:v>
                </c:pt>
                <c:pt idx="12">
                  <c:v>4.6266837333732616</c:v>
                </c:pt>
                <c:pt idx="13">
                  <c:v>4.7904433048981394</c:v>
                </c:pt>
                <c:pt idx="14">
                  <c:v>4.9593514952398747</c:v>
                </c:pt>
                <c:pt idx="15">
                  <c:v>5.1335500507448302</c:v>
                </c:pt>
                <c:pt idx="16">
                  <c:v>5.3131841306933971</c:v>
                </c:pt>
                <c:pt idx="17">
                  <c:v>5.4984023838510447</c:v>
                </c:pt>
                <c:pt idx="18">
                  <c:v>5.6893570270219946</c:v>
                </c:pt>
                <c:pt idx="19">
                  <c:v>5.8862039256799941</c:v>
                </c:pt>
                <c:pt idx="20">
                  <c:v>6.089102676754953</c:v>
                </c:pt>
                <c:pt idx="21">
                  <c:v>6.2982166936588388</c:v>
                </c:pt>
                <c:pt idx="22">
                  <c:v>6.5137132936350977</c:v>
                </c:pt>
                <c:pt idx="23">
                  <c:v>6.735763787522699</c:v>
                </c:pt>
                <c:pt idx="24">
                  <c:v>6.9645435720289859</c:v>
                </c:pt>
                <c:pt idx="25">
                  <c:v>7.2002322246090404</c:v>
                </c:pt>
                <c:pt idx="26">
                  <c:v>7.443013601055152</c:v>
                </c:pt>
                <c:pt idx="27">
                  <c:v>7.6930759359037051</c:v>
                </c:pt>
                <c:pt idx="28">
                  <c:v>7.9506119457729705</c:v>
                </c:pt>
                <c:pt idx="29">
                  <c:v>8.2158189357484908</c:v>
                </c:pt>
                <c:pt idx="30">
                  <c:v>8.4888989089398912</c:v>
                </c:pt>
                <c:pt idx="31">
                  <c:v>8.7700586793400319</c:v>
                </c:pt>
                <c:pt idx="32">
                  <c:v>9.0595099881174228</c:v>
                </c:pt>
                <c:pt idx="33">
                  <c:v>9.3574696234895818</c:v>
                </c:pt>
                <c:pt idx="34">
                  <c:v>9.6641595443179575</c:v>
                </c:pt>
                <c:pt idx="35">
                  <c:v>9.9798070075871053</c:v>
                </c:pt>
                <c:pt idx="36">
                  <c:v>10.304644699923788</c:v>
                </c:pt>
                <c:pt idx="37">
                  <c:v>10.638910873331737</c:v>
                </c:pt>
                <c:pt idx="38">
                  <c:v>10.98284948531575</c:v>
                </c:pt>
                <c:pt idx="39">
                  <c:v>11.336710343583956</c:v>
                </c:pt>
                <c:pt idx="40">
                  <c:v>11.700749255524066</c:v>
                </c:pt>
                <c:pt idx="41">
                  <c:v>12.075228182657085</c:v>
                </c:pt>
                <c:pt idx="42">
                  <c:v>12.46041540028418</c:v>
                </c:pt>
                <c:pt idx="43">
                  <c:v>12.856585662551204</c:v>
                </c:pt>
                <c:pt idx="44">
                  <c:v>13.26402037316776</c:v>
                </c:pt>
                <c:pt idx="45">
                  <c:v>13.683007762027479</c:v>
                </c:pt>
                <c:pt idx="46">
                  <c:v>14.113843067989746</c:v>
                </c:pt>
                <c:pt idx="47">
                  <c:v>14.556828728093832</c:v>
                </c:pt>
                <c:pt idx="48">
                  <c:v>15.012274573493821</c:v>
                </c:pt>
                <c:pt idx="49">
                  <c:v>15.480498032411255</c:v>
                </c:pt>
                <c:pt idx="50">
                  <c:v>15.961824340422888</c:v>
                </c:pt>
                <c:pt idx="51">
                  <c:v>16.45658675841165</c:v>
                </c:pt>
                <c:pt idx="52">
                  <c:v>16.965126798531628</c:v>
                </c:pt>
                <c:pt idx="53">
                  <c:v>17.487794458546535</c:v>
                </c:pt>
                <c:pt idx="54">
                  <c:v>18.024948464930858</c:v>
                </c:pt>
                <c:pt idx="55">
                  <c:v>18.576956525131795</c:v>
                </c:pt>
                <c:pt idx="56">
                  <c:v>19.14419558941843</c:v>
                </c:pt>
                <c:pt idx="57">
                  <c:v>19.727052122761112</c:v>
                </c:pt>
                <c:pt idx="58">
                  <c:v>20.325922387212344</c:v>
                </c:pt>
                <c:pt idx="59">
                  <c:v>20.941212735278786</c:v>
                </c:pt>
                <c:pt idx="60">
                  <c:v>21.573339914807018</c:v>
                </c:pt>
                <c:pt idx="61">
                  <c:v>22.222731385924831</c:v>
                </c:pt>
                <c:pt idx="62">
                  <c:v>22.889825650617432</c:v>
                </c:pt>
                <c:pt idx="63">
                  <c:v>23.575072595541876</c:v>
                </c:pt>
                <c:pt idx="64">
                  <c:v>24.278933848718065</c:v>
                </c:pt>
                <c:pt idx="65">
                  <c:v>25.001883150773448</c:v>
                </c:pt>
                <c:pt idx="66">
                  <c:v>25.744406741444177</c:v>
                </c:pt>
                <c:pt idx="67">
                  <c:v>26.507003762088605</c:v>
                </c:pt>
                <c:pt idx="68">
                  <c:v>27.290186674998857</c:v>
                </c:pt>
                <c:pt idx="69">
                  <c:v>28.094481700345554</c:v>
                </c:pt>
                <c:pt idx="70">
                  <c:v>28.920429271636223</c:v>
                </c:pt>
                <c:pt idx="71">
                  <c:v>29.768584510618275</c:v>
                </c:pt>
                <c:pt idx="72">
                  <c:v>30.639517722607788</c:v>
                </c:pt>
                <c:pt idx="73">
                  <c:v>31.533814913286502</c:v>
                </c:pt>
                <c:pt idx="74">
                  <c:v>32.452078328061042</c:v>
                </c:pt>
                <c:pt idx="75">
                  <c:v>33.394927015151673</c:v>
                </c:pt>
                <c:pt idx="76">
                  <c:v>34.362997413638418</c:v>
                </c:pt>
                <c:pt idx="77">
                  <c:v>35.356943967766611</c:v>
                </c:pt>
                <c:pt idx="78">
                  <c:v>36.377439768895755</c:v>
                </c:pt>
                <c:pt idx="79">
                  <c:v>37.425177226547937</c:v>
                </c:pt>
                <c:pt idx="80">
                  <c:v>38.500868770109641</c:v>
                </c:pt>
                <c:pt idx="81">
                  <c:v>39.605247582833634</c:v>
                </c:pt>
                <c:pt idx="82">
                  <c:v>40.739068369876776</c:v>
                </c:pt>
                <c:pt idx="83">
                  <c:v>41.903108162234254</c:v>
                </c:pt>
                <c:pt idx="84">
                  <c:v>43.098167158531282</c:v>
                </c:pt>
                <c:pt idx="85">
                  <c:v>44.325069606763499</c:v>
                </c:pt>
                <c:pt idx="86">
                  <c:v>45.584664728206469</c:v>
                </c:pt>
                <c:pt idx="87">
                  <c:v>46.87782768585685</c:v>
                </c:pt>
                <c:pt idx="88">
                  <c:v>48.205460599914829</c:v>
                </c:pt>
                <c:pt idx="89">
                  <c:v>49.568493612990814</c:v>
                </c:pt>
                <c:pt idx="90">
                  <c:v>50.967886007872536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86-47A4-9C12-9037D0719878}"/>
            </c:ext>
          </c:extLst>
        </c:ser>
        <c:ser>
          <c:idx val="3"/>
          <c:order val="3"/>
          <c:tx>
            <c:strRef>
              <c:f>Psychrometrics!$E$5</c:f>
              <c:strCache>
                <c:ptCount val="1"/>
                <c:pt idx="0">
                  <c:v>Hr = 70%</c:v>
                </c:pt>
              </c:strCache>
            </c:strRef>
          </c:tx>
          <c:spPr>
            <a:ln w="19050" cap="rnd">
              <a:solidFill>
                <a:schemeClr val="tx1">
                  <a:lumMod val="75000"/>
                  <a:lumOff val="25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7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7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PT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B386-47A4-9C12-9037D07198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Psychrometrics!$E$6:$E$96</c:f>
              <c:numCache>
                <c:formatCode>0.0000</c:formatCode>
                <c:ptCount val="91"/>
                <c:pt idx="0">
                  <c:v>2.6370677791888837</c:v>
                </c:pt>
                <c:pt idx="1">
                  <c:v>2.7351047525451215</c:v>
                </c:pt>
                <c:pt idx="2">
                  <c:v>2.836103579213106</c:v>
                </c:pt>
                <c:pt idx="3">
                  <c:v>2.9404134864458271</c:v>
                </c:pt>
                <c:pt idx="4">
                  <c:v>3.0481290206476119</c:v>
                </c:pt>
                <c:pt idx="5">
                  <c:v>3.1593470392605751</c:v>
                </c:pt>
                <c:pt idx="6">
                  <c:v>3.2741667598865014</c:v>
                </c:pt>
                <c:pt idx="7">
                  <c:v>3.3926898104819876</c:v>
                </c:pt>
                <c:pt idx="8">
                  <c:v>3.5150202806603001</c:v>
                </c:pt>
                <c:pt idx="9">
                  <c:v>3.6412647741366948</c:v>
                </c:pt>
                <c:pt idx="10">
                  <c:v>3.7715324623541941</c:v>
                </c:pt>
                <c:pt idx="11">
                  <c:v>3.9059351393286188</c:v>
                </c:pt>
                <c:pt idx="12">
                  <c:v>4.044587277754391</c:v>
                </c:pt>
                <c:pt idx="13">
                  <c:v>4.1876060864131688</c:v>
                </c:pt>
                <c:pt idx="14">
                  <c:v>4.3351115689304001</c:v>
                </c:pt>
                <c:pt idx="15">
                  <c:v>4.4872265839253949</c:v>
                </c:pt>
                <c:pt idx="16">
                  <c:v>4.6440769066048526</c:v>
                </c:pt>
                <c:pt idx="17">
                  <c:v>4.8057912918494132</c:v>
                </c:pt>
                <c:pt idx="18">
                  <c:v>4.9725015388471743</c:v>
                </c:pt>
                <c:pt idx="19">
                  <c:v>5.1443425573288861</c:v>
                </c:pt>
                <c:pt idx="20">
                  <c:v>5.3214524354628443</c:v>
                </c:pt>
                <c:pt idx="21">
                  <c:v>5.5039725094708816</c:v>
                </c:pt>
                <c:pt idx="22">
                  <c:v>5.6920474350271393</c:v>
                </c:pt>
                <c:pt idx="23">
                  <c:v>5.8858252605066008</c:v>
                </c:pt>
                <c:pt idx="24">
                  <c:v>6.0854575021524218</c:v>
                </c:pt>
                <c:pt idx="25">
                  <c:v>6.2910992212334573</c:v>
                </c:pt>
                <c:pt idx="26">
                  <c:v>6.5029091032679078</c:v>
                </c:pt>
                <c:pt idx="27">
                  <c:v>6.7210495393913252</c:v>
                </c:pt>
                <c:pt idx="28">
                  <c:v>6.945686709951973</c:v>
                </c:pt>
                <c:pt idx="29">
                  <c:v>7.1769906704183946</c:v>
                </c:pt>
                <c:pt idx="30">
                  <c:v>7.4151354396893456</c:v>
                </c:pt>
                <c:pt idx="31">
                  <c:v>7.6602990909016153</c:v>
                </c:pt>
                <c:pt idx="32">
                  <c:v>7.9126638448301261</c:v>
                </c:pt>
                <c:pt idx="33">
                  <c:v>8.1724161659883183</c:v>
                </c:pt>
                <c:pt idx="34">
                  <c:v>8.4397468615296276</c:v>
                </c:pt>
                <c:pt idx="35">
                  <c:v>8.7148511830687312</c:v>
                </c:pt>
                <c:pt idx="36">
                  <c:v>8.9979289315341546</c:v>
                </c:pt>
                <c:pt idx="37">
                  <c:v>9.2891845651796512</c:v>
                </c:pt>
                <c:pt idx="38">
                  <c:v>9.5888273108789477</c:v>
                </c:pt>
                <c:pt idx="39">
                  <c:v>9.8970712788398174</c:v>
                </c:pt>
                <c:pt idx="40">
                  <c:v>10.214135580878256</c:v>
                </c:pt>
                <c:pt idx="41">
                  <c:v>10.540244452398309</c:v>
                </c:pt>
                <c:pt idx="42">
                  <c:v>10.875627378232146</c:v>
                </c:pt>
                <c:pt idx="43">
                  <c:v>11.220519222500677</c:v>
                </c:pt>
                <c:pt idx="44">
                  <c:v>11.575160362663837</c:v>
                </c:pt>
                <c:pt idx="45">
                  <c:v>11.939796827936066</c:v>
                </c:pt>
                <c:pt idx="46">
                  <c:v>12.314680442252085</c:v>
                </c:pt>
                <c:pt idx="47">
                  <c:v>12.700068971975057</c:v>
                </c:pt>
                <c:pt idx="48">
                  <c:v>13.096226278551775</c:v>
                </c:pt>
                <c:pt idx="49">
                  <c:v>13.503422476324383</c:v>
                </c:pt>
                <c:pt idx="50">
                  <c:v>13.921934095722953</c:v>
                </c:pt>
                <c:pt idx="51">
                  <c:v>14.352044252069627</c:v>
                </c:pt>
                <c:pt idx="52">
                  <c:v>14.794042820241533</c:v>
                </c:pt>
                <c:pt idx="53">
                  <c:v>15.248226615443658</c:v>
                </c:pt>
                <c:pt idx="54">
                  <c:v>15.714899580365284</c:v>
                </c:pt>
                <c:pt idx="55">
                  <c:v>16.194372978997144</c:v>
                </c:pt>
                <c:pt idx="56">
                  <c:v>16.686965597407177</c:v>
                </c:pt>
                <c:pt idx="57">
                  <c:v>17.193003951782504</c:v>
                </c:pt>
                <c:pt idx="58">
                  <c:v>17.71282250406534</c:v>
                </c:pt>
                <c:pt idx="59">
                  <c:v>18.246763885521155</c:v>
                </c:pt>
                <c:pt idx="60">
                  <c:v>18.795179128600914</c:v>
                </c:pt>
                <c:pt idx="61">
                  <c:v>19.358427907470041</c:v>
                </c:pt>
                <c:pt idx="62">
                  <c:v>19.93687878760322</c:v>
                </c:pt>
                <c:pt idx="63">
                  <c:v>20.530909484858391</c:v>
                </c:pt>
                <c:pt idx="64">
                  <c:v>21.140907134466687</c:v>
                </c:pt>
                <c:pt idx="65">
                  <c:v>21.767268570401296</c:v>
                </c:pt>
                <c:pt idx="66">
                  <c:v>22.410400615602207</c:v>
                </c:pt>
                <c:pt idx="67">
                  <c:v>23.070720383571683</c:v>
                </c:pt>
                <c:pt idx="68">
                  <c:v>23.748655591871607</c:v>
                </c:pt>
                <c:pt idx="69">
                  <c:v>24.444644888086987</c:v>
                </c:pt>
                <c:pt idx="70">
                  <c:v>25.159138188848814</c:v>
                </c:pt>
                <c:pt idx="71">
                  <c:v>25.892597032541619</c:v>
                </c:pt>
                <c:pt idx="72">
                  <c:v>26.645494946352695</c:v>
                </c:pt>
                <c:pt idx="73">
                  <c:v>27.41831782835995</c:v>
                </c:pt>
                <c:pt idx="74">
                  <c:v>28.211564345385817</c:v>
                </c:pt>
                <c:pt idx="75">
                  <c:v>29.025746347393664</c:v>
                </c:pt>
                <c:pt idx="76">
                  <c:v>29.861389299238688</c:v>
                </c:pt>
                <c:pt idx="77">
                  <c:v>30.719032730632787</c:v>
                </c:pt>
                <c:pt idx="78">
                  <c:v>31.599230705234785</c:v>
                </c:pt>
                <c:pt idx="79">
                  <c:v>32.502552309819862</c:v>
                </c:pt>
                <c:pt idx="80">
                  <c:v>33.429582164545117</c:v>
                </c:pt>
                <c:pt idx="81">
                  <c:v>34.380920955384795</c:v>
                </c:pt>
                <c:pt idx="82">
                  <c:v>35.357185989861179</c:v>
                </c:pt>
                <c:pt idx="83">
                  <c:v>36.359011777277388</c:v>
                </c:pt>
                <c:pt idx="84">
                  <c:v>37.387050634716417</c:v>
                </c:pt>
                <c:pt idx="85">
                  <c:v>38.44197332015144</c:v>
                </c:pt>
                <c:pt idx="86">
                  <c:v>39.524469694089781</c:v>
                </c:pt>
                <c:pt idx="87">
                  <c:v>40.635249411259998</c:v>
                </c:pt>
                <c:pt idx="88">
                  <c:v>41.7750426439368</c:v>
                </c:pt>
                <c:pt idx="89">
                  <c:v>42.944600838607123</c:v>
                </c:pt>
                <c:pt idx="90">
                  <c:v>44.144697507765194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386-47A4-9C12-9037D0719878}"/>
            </c:ext>
          </c:extLst>
        </c:ser>
        <c:ser>
          <c:idx val="4"/>
          <c:order val="4"/>
          <c:tx>
            <c:strRef>
              <c:f>Psychrometrics!$F$5</c:f>
              <c:strCache>
                <c:ptCount val="1"/>
                <c:pt idx="0">
                  <c:v>Hr = 60%</c:v>
                </c:pt>
              </c:strCache>
            </c:strRef>
          </c:tx>
          <c:spPr>
            <a:ln w="19050" cap="rnd">
              <a:solidFill>
                <a:schemeClr val="tx1">
                  <a:lumMod val="75000"/>
                  <a:lumOff val="25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Psychrometrics!$F$6:$F$96</c:f>
              <c:numCache>
                <c:formatCode>0.0000</c:formatCode>
                <c:ptCount val="91"/>
                <c:pt idx="0">
                  <c:v>2.2589755061126526</c:v>
                </c:pt>
                <c:pt idx="1">
                  <c:v>2.3429036019844451</c:v>
                </c:pt>
                <c:pt idx="2">
                  <c:v>2.4293633491598157</c:v>
                </c:pt>
                <c:pt idx="3">
                  <c:v>2.5186533289574649</c:v>
                </c:pt>
                <c:pt idx="4">
                  <c:v>2.6108540609236917</c:v>
                </c:pt>
                <c:pt idx="5">
                  <c:v>2.7060480132530653</c:v>
                </c:pt>
                <c:pt idx="6">
                  <c:v>2.8043196430337423</c:v>
                </c:pt>
                <c:pt idx="7">
                  <c:v>2.9057554373129899</c:v>
                </c:pt>
                <c:pt idx="8">
                  <c:v>3.0104439550065827</c:v>
                </c:pt>
                <c:pt idx="9">
                  <c:v>3.1184758696782842</c:v>
                </c:pt>
                <c:pt idx="10">
                  <c:v>3.2299440132156483</c:v>
                </c:pt>
                <c:pt idx="11">
                  <c:v>3.3449434204295754</c:v>
                </c:pt>
                <c:pt idx="12">
                  <c:v>3.463571374607171</c:v>
                </c:pt>
                <c:pt idx="13">
                  <c:v>3.5859274540475949</c:v>
                </c:pt>
                <c:pt idx="14">
                  <c:v>3.7121135796128835</c:v>
                </c:pt>
                <c:pt idx="15">
                  <c:v>3.8422340633258245</c:v>
                </c:pt>
                <c:pt idx="16">
                  <c:v>3.9763956580503907</c:v>
                </c:pt>
                <c:pt idx="17">
                  <c:v>4.1147076082894971</c:v>
                </c:pt>
                <c:pt idx="18">
                  <c:v>4.2572817021382567</c:v>
                </c:pt>
                <c:pt idx="19">
                  <c:v>4.4042323244312023</c:v>
                </c:pt>
                <c:pt idx="20">
                  <c:v>4.5556765111242798</c:v>
                </c:pt>
                <c:pt idx="21">
                  <c:v>4.7117340049549608</c:v>
                </c:pt>
                <c:pt idx="22">
                  <c:v>4.8725273124235695</c:v>
                </c:pt>
                <c:pt idx="23">
                  <c:v>5.0381817621429601</c:v>
                </c:pt>
                <c:pt idx="24">
                  <c:v>5.2088255646049531</c:v>
                </c:pt>
                <c:pt idx="25">
                  <c:v>5.3845898734134652</c:v>
                </c:pt>
                <c:pt idx="26">
                  <c:v>5.5656088480374635</c:v>
                </c:pt>
                <c:pt idx="27">
                  <c:v>5.7520197181384338</c:v>
                </c:pt>
                <c:pt idx="28">
                  <c:v>5.9439628495303438</c:v>
                </c:pt>
                <c:pt idx="29">
                  <c:v>6.1415818118311067</c:v>
                </c:pt>
                <c:pt idx="30">
                  <c:v>6.3450234478684013</c:v>
                </c:pt>
                <c:pt idx="31">
                  <c:v>6.5544379449064953</c:v>
                </c:pt>
                <c:pt idx="32">
                  <c:v>6.7699789077590795</c:v>
                </c:pt>
                <c:pt idx="33">
                  <c:v>6.9918034338638817</c:v>
                </c:pt>
                <c:pt idx="34">
                  <c:v>7.220072190387854</c:v>
                </c:pt>
                <c:pt idx="35">
                  <c:v>7.4549494934461169</c:v>
                </c:pt>
                <c:pt idx="36">
                  <c:v>7.696603389510793</c:v>
                </c:pt>
                <c:pt idx="37">
                  <c:v>7.9452057390984603</c:v>
                </c:pt>
                <c:pt idx="38">
                  <c:v>8.2009323028213732</c:v>
                </c:pt>
                <c:pt idx="39">
                  <c:v>8.4639628298963618</c:v>
                </c:pt>
                <c:pt idx="40">
                  <c:v>8.7344811492080332</c:v>
                </c:pt>
                <c:pt idx="41">
                  <c:v>9.0126752630259723</c:v>
                </c:pt>
                <c:pt idx="42">
                  <c:v>9.2987374434818477</c:v>
                </c:pt>
                <c:pt idx="43">
                  <c:v>9.5928643319158926</c:v>
                </c:pt>
                <c:pt idx="44">
                  <c:v>9.8952570412082821</c:v>
                </c:pt>
                <c:pt idx="45">
                  <c:v>10.206121261214875</c:v>
                </c:pt>
                <c:pt idx="46">
                  <c:v>10.525667367433146</c:v>
                </c:pt>
                <c:pt idx="47">
                  <c:v>10.854110533028589</c:v>
                </c:pt>
                <c:pt idx="48">
                  <c:v>11.191670844360489</c:v>
                </c:pt>
                <c:pt idx="49">
                  <c:v>11.538573420148328</c:v>
                </c:pt>
                <c:pt idx="50">
                  <c:v>11.895048534430515</c:v>
                </c:pt>
                <c:pt idx="51">
                  <c:v>12.261331743470445</c:v>
                </c:pt>
                <c:pt idx="52">
                  <c:v>12.637664016776565</c:v>
                </c:pt>
                <c:pt idx="53">
                  <c:v>13.024291872404092</c:v>
                </c:pt>
                <c:pt idx="54">
                  <c:v>13.421467516722378</c:v>
                </c:pt>
                <c:pt idx="55">
                  <c:v>13.829448988832294</c:v>
                </c:pt>
                <c:pt idx="56">
                  <c:v>14.248500309832545</c:v>
                </c:pt>
                <c:pt idx="57">
                  <c:v>14.678891637139044</c:v>
                </c:pt>
                <c:pt idx="58">
                  <c:v>15.120899424075176</c:v>
                </c:pt>
                <c:pt idx="59">
                  <c:v>15.574806584956267</c:v>
                </c:pt>
                <c:pt idx="60">
                  <c:v>16.040902665907755</c:v>
                </c:pt>
                <c:pt idx="61">
                  <c:v>16.519484021661718</c:v>
                </c:pt>
                <c:pt idx="62">
                  <c:v>17.010853998594662</c:v>
                </c:pt>
                <c:pt idx="63">
                  <c:v>17.515323124276932</c:v>
                </c:pt>
                <c:pt idx="64">
                  <c:v>18.033209303819206</c:v>
                </c:pt>
                <c:pt idx="65">
                  <c:v>18.564838023318515</c:v>
                </c:pt>
                <c:pt idx="66">
                  <c:v>19.110542560712691</c:v>
                </c:pt>
                <c:pt idx="67">
                  <c:v>19.67066420437834</c:v>
                </c:pt>
                <c:pt idx="68">
                  <c:v>20.245552479814876</c:v>
                </c:pt>
                <c:pt idx="69">
                  <c:v>20.835565384778885</c:v>
                </c:pt>
                <c:pt idx="70">
                  <c:v>21.441069633250024</c:v>
                </c:pt>
                <c:pt idx="71">
                  <c:v>22.06244090862954</c:v>
                </c:pt>
                <c:pt idx="72">
                  <c:v>22.700064126591126</c:v>
                </c:pt>
                <c:pt idx="73">
                  <c:v>23.354333708028765</c:v>
                </c:pt>
                <c:pt idx="74">
                  <c:v>24.025653862563001</c:v>
                </c:pt>
                <c:pt idx="75">
                  <c:v>24.714438883098193</c:v>
                </c:pt>
                <c:pt idx="76">
                  <c:v>25.421113451943143</c:v>
                </c:pt>
                <c:pt idx="77">
                  <c:v>26.146112959035882</c:v>
                </c:pt>
                <c:pt idx="78">
                  <c:v>26.889883832845221</c:v>
                </c:pt>
                <c:pt idx="79">
                  <c:v>27.652883884544384</c:v>
                </c:pt>
                <c:pt idx="80">
                  <c:v>28.435582666091349</c:v>
                </c:pt>
                <c:pt idx="81">
                  <c:v>29.238461842883126</c:v>
                </c:pt>
                <c:pt idx="82">
                  <c:v>30.062015581679528</c:v>
                </c:pt>
                <c:pt idx="83">
                  <c:v>30.906750954542172</c:v>
                </c:pt>
                <c:pt idx="84">
                  <c:v>31.773188359564816</c:v>
                </c:pt>
                <c:pt idx="85">
                  <c:v>32.661861959219337</c:v>
                </c:pt>
                <c:pt idx="86">
                  <c:v>33.57332013718527</c:v>
                </c:pt>
                <c:pt idx="87">
                  <c:v>34.508125974580743</c:v>
                </c:pt>
                <c:pt idx="88">
                  <c:v>35.466857746560187</c:v>
                </c:pt>
                <c:pt idx="89">
                  <c:v>36.450109440308218</c:v>
                </c:pt>
                <c:pt idx="90">
                  <c:v>37.458491295501553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86-47A4-9C12-9037D0719878}"/>
            </c:ext>
          </c:extLst>
        </c:ser>
        <c:ser>
          <c:idx val="5"/>
          <c:order val="5"/>
          <c:tx>
            <c:strRef>
              <c:f>Psychrometrics!$G$5</c:f>
              <c:strCache>
                <c:ptCount val="1"/>
                <c:pt idx="0">
                  <c:v>Hr = 50%</c:v>
                </c:pt>
              </c:strCache>
            </c:strRef>
          </c:tx>
          <c:spPr>
            <a:ln w="19050" cap="rnd">
              <a:solidFill>
                <a:schemeClr val="tx1">
                  <a:lumMod val="75000"/>
                  <a:lumOff val="25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7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7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PT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B386-47A4-9C12-9037D07198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Psychrometrics!$G$6:$G$96</c:f>
              <c:numCache>
                <c:formatCode>0.0000</c:formatCode>
                <c:ptCount val="91"/>
                <c:pt idx="0">
                  <c:v>1.8813407142523373</c:v>
                </c:pt>
                <c:pt idx="1">
                  <c:v>1.9511946240605937</c:v>
                </c:pt>
                <c:pt idx="2">
                  <c:v>2.0231523604101813</c:v>
                </c:pt>
                <c:pt idx="3">
                  <c:v>2.0974621130643438</c:v>
                </c:pt>
                <c:pt idx="4">
                  <c:v>2.1741905501769381</c:v>
                </c:pt>
                <c:pt idx="5">
                  <c:v>2.2534059371150734</c:v>
                </c:pt>
                <c:pt idx="6">
                  <c:v>2.3351781684675457</c:v>
                </c:pt>
                <c:pt idx="7">
                  <c:v>2.4195788006555046</c:v>
                </c:pt>
                <c:pt idx="8">
                  <c:v>2.5066810851610386</c:v>
                </c:pt>
                <c:pt idx="9">
                  <c:v>2.5965600023913349</c:v>
                </c:pt>
                <c:pt idx="10">
                  <c:v>2.6892922961958452</c:v>
                </c:pt>
                <c:pt idx="11">
                  <c:v>2.7849565090547173</c:v>
                </c:pt>
                <c:pt idx="12">
                  <c:v>2.8836330179582896</c:v>
                </c:pt>
                <c:pt idx="13">
                  <c:v>2.9854040709973138</c:v>
                </c:pt>
                <c:pt idx="14">
                  <c:v>3.0903538246852613</c:v>
                </c:pt>
                <c:pt idx="15">
                  <c:v>3.1985683820339346</c:v>
                </c:pt>
                <c:pt idx="16">
                  <c:v>3.3101358314060976</c:v>
                </c:pt>
                <c:pt idx="17">
                  <c:v>3.425146286168085</c:v>
                </c:pt>
                <c:pt idx="18">
                  <c:v>3.5436919251677819</c:v>
                </c:pt>
                <c:pt idx="19">
                  <c:v>3.6658670340633903</c:v>
                </c:pt>
                <c:pt idx="20">
                  <c:v>3.7917680475299762</c:v>
                </c:pt>
                <c:pt idx="21">
                  <c:v>3.9214935923726291</c:v>
                </c:pt>
                <c:pt idx="22">
                  <c:v>4.0551445315744603</c:v>
                </c:pt>
                <c:pt idx="23">
                  <c:v>4.1928240093106925</c:v>
                </c:pt>
                <c:pt idx="24">
                  <c:v>4.3346374969607915</c:v>
                </c:pt>
                <c:pt idx="25">
                  <c:v>4.4806928401513888</c:v>
                </c:pt>
                <c:pt idx="26">
                  <c:v>4.6311003068650942</c:v>
                </c:pt>
                <c:pt idx="27">
                  <c:v>4.7859726366510316</c:v>
                </c:pt>
                <c:pt idx="28">
                  <c:v>4.9454250909753155</c:v>
                </c:pt>
                <c:pt idx="29">
                  <c:v>5.1095755047499747</c:v>
                </c:pt>
                <c:pt idx="30">
                  <c:v>5.2785443390815585</c:v>
                </c:pt>
                <c:pt idx="31">
                  <c:v>5.4524547352832728</c:v>
                </c:pt>
                <c:pt idx="32">
                  <c:v>5.6314325701925512</c:v>
                </c:pt>
                <c:pt idx="33">
                  <c:v>5.8156065128443455</c:v>
                </c:pt>
                <c:pt idx="34">
                  <c:v>6.0051080825439609</c:v>
                </c:pt>
                <c:pt idx="35">
                  <c:v>6.2000717083946064</c:v>
                </c:pt>
                <c:pt idx="36">
                  <c:v>6.4006347903282439</c:v>
                </c:pt>
                <c:pt idx="37">
                  <c:v>6.6069377616980729</c:v>
                </c:pt>
                <c:pt idx="38">
                  <c:v>6.8191241534872908</c:v>
                </c:pt>
                <c:pt idx="39">
                  <c:v>7.0373406601951025</c:v>
                </c:pt>
                <c:pt idx="40">
                  <c:v>7.2617372074625743</c:v>
                </c:pt>
                <c:pt idx="41">
                  <c:v>7.4924670215023585</c:v>
                </c:pt>
                <c:pt idx="42">
                  <c:v>7.7296867004006771</c:v>
                </c:pt>
                <c:pt idx="43">
                  <c:v>7.9735562873618493</c:v>
                </c:pt>
                <c:pt idx="44">
                  <c:v>8.2242393459696714</c:v>
                </c:pt>
                <c:pt idx="45">
                  <c:v>8.481903037542013</c:v>
                </c:pt>
                <c:pt idx="46">
                  <c:v>8.7467182006592843</c:v>
                </c:pt>
                <c:pt idx="47">
                  <c:v>9.0188594329496556</c:v>
                </c:pt>
                <c:pt idx="48">
                  <c:v>9.298505175220015</c:v>
                </c:pt>
                <c:pt idx="49">
                  <c:v>9.5858377980219736</c:v>
                </c:pt>
                <c:pt idx="50">
                  <c:v>9.8810436907496229</c:v>
                </c:pt>
                <c:pt idx="51">
                  <c:v>10.184313353366869</c:v>
                </c:pt>
                <c:pt idx="52">
                  <c:v>10.495841490870184</c:v>
                </c:pt>
                <c:pt idx="53">
                  <c:v>10.815827110591773</c:v>
                </c:pt>
                <c:pt idx="54">
                  <c:v>11.144473622459833</c:v>
                </c:pt>
                <c:pt idx="55">
                  <c:v>11.48198894233097</c:v>
                </c:pt>
                <c:pt idx="56">
                  <c:v>11.828585598519863</c:v>
                </c:pt>
                <c:pt idx="57">
                  <c:v>12.184480841653412</c:v>
                </c:pt>
                <c:pt idx="58">
                  <c:v>12.549896757985609</c:v>
                </c:pt>
                <c:pt idx="59">
                  <c:v>12.92506038631161</c:v>
                </c:pt>
                <c:pt idx="60">
                  <c:v>13.310203838630189</c:v>
                </c:pt>
                <c:pt idx="61">
                  <c:v>13.705564424705349</c:v>
                </c:pt>
                <c:pt idx="62">
                  <c:v>14.111384780690008</c:v>
                </c:pt>
                <c:pt idx="63">
                  <c:v>14.527913001977952</c:v>
                </c:pt>
                <c:pt idx="64">
                  <c:v>14.955402780459218</c:v>
                </c:pt>
                <c:pt idx="65">
                  <c:v>15.394113546364849</c:v>
                </c:pt>
                <c:pt idx="66">
                  <c:v>15.844310614888592</c:v>
                </c:pt>
                <c:pt idx="67">
                  <c:v>16.306265337790656</c:v>
                </c:pt>
                <c:pt idx="68">
                  <c:v>16.780255260191129</c:v>
                </c:pt>
                <c:pt idx="69">
                  <c:v>17.26656428277348</c:v>
                </c:pt>
                <c:pt idx="70">
                  <c:v>17.765482829628574</c:v>
                </c:pt>
                <c:pt idx="71">
                  <c:v>18.277308021980566</c:v>
                </c:pt>
                <c:pt idx="72">
                  <c:v>18.802343858046321</c:v>
                </c:pt>
                <c:pt idx="73">
                  <c:v>19.340901399294836</c:v>
                </c:pt>
                <c:pt idx="74">
                  <c:v>19.893298963381024</c:v>
                </c:pt>
                <c:pt idx="75">
                  <c:v>20.459862324047482</c:v>
                </c:pt>
                <c:pt idx="76">
                  <c:v>21.040924918297179</c:v>
                </c:pt>
                <c:pt idx="77">
                  <c:v>21.636828061156439</c:v>
                </c:pt>
                <c:pt idx="78">
                  <c:v>22.247921168365625</c:v>
                </c:pt>
                <c:pt idx="79">
                  <c:v>22.874561987345849</c:v>
                </c:pt>
                <c:pt idx="80">
                  <c:v>23.5171168368129</c:v>
                </c:pt>
                <c:pt idx="81">
                  <c:v>24.17596085542753</c:v>
                </c:pt>
                <c:pt idx="82">
                  <c:v>24.851478259884171</c:v>
                </c:pt>
                <c:pt idx="83">
                  <c:v>25.544062612870498</c:v>
                </c:pt>
                <c:pt idx="84">
                  <c:v>26.254117101344075</c:v>
                </c:pt>
                <c:pt idx="85">
                  <c:v>26.982054825599146</c:v>
                </c:pt>
                <c:pt idx="86">
                  <c:v>27.728299099619562</c:v>
                </c:pt>
                <c:pt idx="87">
                  <c:v>28.493283763240512</c:v>
                </c:pt>
                <c:pt idx="88">
                  <c:v>29.277453506665765</c:v>
                </c:pt>
                <c:pt idx="89">
                  <c:v>30.081264207923223</c:v>
                </c:pt>
                <c:pt idx="90">
                  <c:v>30.905183283859305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386-47A4-9C12-9037D0719878}"/>
            </c:ext>
          </c:extLst>
        </c:ser>
        <c:ser>
          <c:idx val="6"/>
          <c:order val="6"/>
          <c:tx>
            <c:strRef>
              <c:f>Psychrometrics!$H$5</c:f>
              <c:strCache>
                <c:ptCount val="1"/>
                <c:pt idx="0">
                  <c:v>Hr = 40%</c:v>
                </c:pt>
              </c:strCache>
            </c:strRef>
          </c:tx>
          <c:spPr>
            <a:ln w="19050" cap="rnd">
              <a:solidFill>
                <a:schemeClr val="tx1">
                  <a:lumMod val="75000"/>
                  <a:lumOff val="25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7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7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PT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B386-47A4-9C12-9037D07198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Psychrometrics!$H$6:$H$96</c:f>
              <c:numCache>
                <c:formatCode>0.0000</c:formatCode>
                <c:ptCount val="91"/>
                <c:pt idx="0">
                  <c:v>1.5041625738004918</c:v>
                </c:pt>
                <c:pt idx="1">
                  <c:v>1.559976892914438</c:v>
                </c:pt>
                <c:pt idx="2">
                  <c:v>1.6174695806803479</c:v>
                </c:pt>
                <c:pt idx="3">
                  <c:v>1.6768386883151254</c:v>
                </c:pt>
                <c:pt idx="4">
                  <c:v>1.7381372068042154</c:v>
                </c:pt>
                <c:pt idx="5">
                  <c:v>1.8014193837402284</c:v>
                </c:pt>
                <c:pt idx="6">
                  <c:v>1.8667407477220399</c:v>
                </c:pt>
                <c:pt idx="7">
                  <c:v>1.9341581331721012</c:v>
                </c:pt>
                <c:pt idx="8">
                  <c:v>2.0037297055814176</c:v>
                </c:pt>
                <c:pt idx="9">
                  <c:v>2.0755149871930816</c:v>
                </c:pt>
                <c:pt idx="10">
                  <c:v>2.1495748831349362</c:v>
                </c:pt>
                <c:pt idx="11">
                  <c:v>2.2259717080124268</c:v>
                </c:pt>
                <c:pt idx="12">
                  <c:v>2.304769212973806</c:v>
                </c:pt>
                <c:pt idx="13">
                  <c:v>2.3860326132595455</c:v>
                </c:pt>
                <c:pt idx="14">
                  <c:v>2.469828616249012</c:v>
                </c:pt>
                <c:pt idx="15">
                  <c:v>2.5562254500171582</c:v>
                </c:pt>
                <c:pt idx="16">
                  <c:v>2.6452928924157968</c:v>
                </c:pt>
                <c:pt idx="17">
                  <c:v>2.737102300693198</c:v>
                </c:pt>
                <c:pt idx="18">
                  <c:v>2.8317266416675251</c:v>
                </c:pt>
                <c:pt idx="19">
                  <c:v>2.9292405224693696</c:v>
                </c:pt>
                <c:pt idx="20">
                  <c:v>3.0297202218697423</c:v>
                </c:pt>
                <c:pt idx="21">
                  <c:v>3.1332437222110601</c:v>
                </c:pt>
                <c:pt idx="22">
                  <c:v>3.2398907419579417</c:v>
                </c:pt>
                <c:pt idx="23">
                  <c:v>3.3497427688868155</c:v>
                </c:pt>
                <c:pt idx="24">
                  <c:v>3.4628830939335669</c:v>
                </c:pt>
                <c:pt idx="25">
                  <c:v>3.5793968457188825</c:v>
                </c:pt>
                <c:pt idx="26">
                  <c:v>3.6993710257724342</c:v>
                </c:pt>
                <c:pt idx="27">
                  <c:v>3.8228945444774163</c:v>
                </c:pt>
                <c:pt idx="28">
                  <c:v>3.9500582577584318</c:v>
                </c:pt>
                <c:pt idx="29">
                  <c:v>4.080955004535685</c:v>
                </c:pt>
                <c:pt idx="30">
                  <c:v>4.2156796449702085</c:v>
                </c:pt>
                <c:pt idx="31">
                  <c:v>4.3543290995265895</c:v>
                </c:pt>
                <c:pt idx="32">
                  <c:v>4.4970023888776858</c:v>
                </c:pt>
                <c:pt idx="33">
                  <c:v>4.6438006746821259</c:v>
                </c:pt>
                <c:pt idx="34">
                  <c:v>4.7948273012597635</c:v>
                </c:pt>
                <c:pt idx="35">
                  <c:v>4.950187838198902</c:v>
                </c:pt>
                <c:pt idx="36">
                  <c:v>5.109990123923299</c:v>
                </c:pt>
                <c:pt idx="37">
                  <c:v>5.274344310254321</c:v>
                </c:pt>
                <c:pt idx="38">
                  <c:v>5.4433629080000552</c:v>
                </c:pt>
                <c:pt idx="39">
                  <c:v>5.6171608336077847</c:v>
                </c:pt>
                <c:pt idx="40">
                  <c:v>5.7958554569168257</c:v>
                </c:pt>
                <c:pt idx="41">
                  <c:v>5.9795666500493683</c:v>
                </c:pt>
                <c:pt idx="42">
                  <c:v>6.1684168374797128</c:v>
                </c:pt>
                <c:pt idx="43">
                  <c:v>6.3625310473232002</c:v>
                </c:pt>
                <c:pt idx="44">
                  <c:v>6.5620369638885467</c:v>
                </c:pt>
                <c:pt idx="45">
                  <c:v>6.7670649815382777</c:v>
                </c:pt>
                <c:pt idx="46">
                  <c:v>6.9777482599045353</c:v>
                </c:pt>
                <c:pt idx="47">
                  <c:v>7.1942227805084906</c:v>
                </c:pt>
                <c:pt idx="48">
                  <c:v>7.4166274048355749</c:v>
                </c:pt>
                <c:pt idx="49">
                  <c:v>7.6451039339181266</c:v>
                </c:pt>
                <c:pt idx="50">
                  <c:v>7.8797971694819315</c:v>
                </c:pt>
                <c:pt idx="51">
                  <c:v>8.1208549767130336</c:v>
                </c:pt>
                <c:pt idx="52">
                  <c:v>8.3684283487064928</c:v>
                </c:pt>
                <c:pt idx="53">
                  <c:v>8.6226714726570073</c:v>
                </c:pt>
                <c:pt idx="54">
                  <c:v>8.8837417978593418</c:v>
                </c:pt>
                <c:pt idx="55">
                  <c:v>9.1518001055840639</c:v>
                </c:pt>
                <c:pt idx="56">
                  <c:v>9.4270105809006957</c:v>
                </c:pt>
                <c:pt idx="57">
                  <c:v>9.7095408865206636</c:v>
                </c:pt>
                <c:pt idx="58">
                  <c:v>9.9995622387382248</c:v>
                </c:pt>
                <c:pt idx="59">
                  <c:v>10.297249485547654</c:v>
                </c:pt>
                <c:pt idx="60">
                  <c:v>10.602781187021927</c:v>
                </c:pt>
                <c:pt idx="61">
                  <c:v>10.916339698037625</c:v>
                </c:pt>
                <c:pt idx="62">
                  <c:v>11.238111253438651</c:v>
                </c:pt>
                <c:pt idx="63">
                  <c:v>11.568286055731951</c:v>
                </c:pt>
                <c:pt idx="64">
                  <c:v>11.907058365413546</c:v>
                </c:pt>
                <c:pt idx="65">
                  <c:v>12.25462659402962</c:v>
                </c:pt>
                <c:pt idx="66">
                  <c:v>12.611193400076306</c:v>
                </c:pt>
                <c:pt idx="67">
                  <c:v>12.976965787853484</c:v>
                </c:pt>
                <c:pt idx="68">
                  <c:v>13.352155209387032</c:v>
                </c:pt>
                <c:pt idx="69">
                  <c:v>13.736977669541853</c:v>
                </c:pt>
                <c:pt idx="70">
                  <c:v>14.13165383445261</c:v>
                </c:pt>
                <c:pt idx="71">
                  <c:v>14.536409143405049</c:v>
                </c:pt>
                <c:pt idx="72">
                  <c:v>14.951473924305551</c:v>
                </c:pt>
                <c:pt idx="73">
                  <c:v>15.377083512884989</c:v>
                </c:pt>
                <c:pt idx="74">
                  <c:v>15.813478375785506</c:v>
                </c:pt>
                <c:pt idx="75">
                  <c:v>16.260904237690209</c:v>
                </c:pt>
                <c:pt idx="76">
                  <c:v>16.719612212659239</c:v>
                </c:pt>
                <c:pt idx="77">
                  <c:v>17.189858939844139</c:v>
                </c:pt>
                <c:pt idx="78">
                  <c:v>17.671906723762284</c:v>
                </c:pt>
                <c:pt idx="79">
                  <c:v>18.166023679316709</c:v>
                </c:pt>
                <c:pt idx="80">
                  <c:v>18.672483881759817</c:v>
                </c:pt>
                <c:pt idx="81">
                  <c:v>19.191567521807876</c:v>
                </c:pt>
                <c:pt idx="82">
                  <c:v>19.72356106611759</c:v>
                </c:pt>
                <c:pt idx="83">
                  <c:v>20.268757423354064</c:v>
                </c:pt>
                <c:pt idx="84">
                  <c:v>20.827456116083262</c:v>
                </c:pt>
                <c:pt idx="85">
                  <c:v>21.399963458736575</c:v>
                </c:pt>
                <c:pt idx="86">
                  <c:v>21.986592741905625</c:v>
                </c:pt>
                <c:pt idx="87">
                  <c:v>22.587664423238166</c:v>
                </c:pt>
                <c:pt idx="88">
                  <c:v>23.203506325216793</c:v>
                </c:pt>
                <c:pt idx="89">
                  <c:v>23.834453840121235</c:v>
                </c:pt>
                <c:pt idx="90">
                  <c:v>24.480850142479312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386-47A4-9C12-9037D0719878}"/>
            </c:ext>
          </c:extLst>
        </c:ser>
        <c:ser>
          <c:idx val="7"/>
          <c:order val="7"/>
          <c:tx>
            <c:strRef>
              <c:f>Psychrometrics!$I$5</c:f>
              <c:strCache>
                <c:ptCount val="1"/>
                <c:pt idx="0">
                  <c:v>Hr = 30%</c:v>
                </c:pt>
              </c:strCache>
            </c:strRef>
          </c:tx>
          <c:spPr>
            <a:ln w="19050" cap="rnd">
              <a:solidFill>
                <a:schemeClr val="tx1">
                  <a:lumMod val="75000"/>
                  <a:lumOff val="25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Psychrometrics!$I$6:$I$96</c:f>
              <c:numCache>
                <c:formatCode>0.0000</c:formatCode>
                <c:ptCount val="91"/>
                <c:pt idx="0">
                  <c:v>1.1274402569553303</c:v>
                </c:pt>
                <c:pt idx="1">
                  <c:v>1.169249485007656</c:v>
                </c:pt>
                <c:pt idx="2">
                  <c:v>1.2123139803693399</c:v>
                </c:pt>
                <c:pt idx="3">
                  <c:v>1.2567819073581339</c:v>
                </c:pt>
                <c:pt idx="4">
                  <c:v>1.3026927527815562</c:v>
                </c:pt>
                <c:pt idx="5">
                  <c:v>1.3500869301526817</c:v>
                </c:pt>
                <c:pt idx="6">
                  <c:v>1.3990057970954888</c:v>
                </c:pt>
                <c:pt idx="7">
                  <c:v>1.4494916730172425</c:v>
                </c:pt>
                <c:pt idx="8">
                  <c:v>1.5015878570527887</c:v>
                </c:pt>
                <c:pt idx="9">
                  <c:v>1.555338646286599</c:v>
                </c:pt>
                <c:pt idx="10">
                  <c:v>1.6107893542580687</c:v>
                </c:pt>
                <c:pt idx="11">
                  <c:v>1.6679863297558377</c:v>
                </c:pt>
                <c:pt idx="12">
                  <c:v>1.7269769759075946</c:v>
                </c:pt>
                <c:pt idx="13">
                  <c:v>1.7878097695715143</c:v>
                </c:pt>
                <c:pt idx="14">
                  <c:v>1.8505342810362337</c:v>
                </c:pt>
                <c:pt idx="15">
                  <c:v>1.9152011940359137</c:v>
                </c:pt>
                <c:pt idx="16">
                  <c:v>1.9818623260881907</c:v>
                </c:pt>
                <c:pt idx="17">
                  <c:v>2.0505706491620397</c:v>
                </c:pt>
                <c:pt idx="18">
                  <c:v>2.1213803106837643</c:v>
                </c:pt>
                <c:pt idx="19">
                  <c:v>2.1943466548890131</c:v>
                </c:pt>
                <c:pt idx="20">
                  <c:v>2.2695262445293456</c:v>
                </c:pt>
                <c:pt idx="21">
                  <c:v>2.3469768829426312</c:v>
                </c:pt>
                <c:pt idx="22">
                  <c:v>2.426757636495847</c:v>
                </c:pt>
                <c:pt idx="23">
                  <c:v>2.508928857410289</c:v>
                </c:pt>
                <c:pt idx="24">
                  <c:v>2.5935522069792163</c:v>
                </c:pt>
                <c:pt idx="25">
                  <c:v>2.6806906791880531</c:v>
                </c:pt>
                <c:pt idx="26">
                  <c:v>2.7704086247482351</c:v>
                </c:pt>
                <c:pt idx="27">
                  <c:v>2.8627717755557818</c:v>
                </c:pt>
                <c:pt idx="28">
                  <c:v>2.9578472695866536</c:v>
                </c:pt>
                <c:pt idx="29">
                  <c:v>3.0557036762406264</c:v>
                </c:pt>
                <c:pt idx="30">
                  <c:v>3.1564110221465587</c:v>
                </c:pt>
                <c:pt idx="31">
                  <c:v>3.2600408174429232</c:v>
                </c:pt>
                <c:pt idx="32">
                  <c:v>3.3666660825458181</c:v>
                </c:pt>
                <c:pt idx="33">
                  <c:v>3.4763613754210194</c:v>
                </c:pt>
                <c:pt idx="34">
                  <c:v>3.5892028193722609</c:v>
                </c:pt>
                <c:pt idx="35">
                  <c:v>3.7052681313639879</c:v>
                </c:pt>
                <c:pt idx="36">
                  <c:v>3.8246366508922698</c:v>
                </c:pt>
                <c:pt idx="37">
                  <c:v>3.9473893694226971</c:v>
                </c:pt>
                <c:pt idx="38">
                  <c:v>4.0736089604110823</c:v>
                </c:pt>
                <c:pt idx="39">
                  <c:v>4.2033798099259121</c:v>
                </c:pt>
                <c:pt idx="40">
                  <c:v>4.3367880478915097</c:v>
                </c:pt>
                <c:pt idx="41">
                  <c:v>4.473921579971031</c:v>
                </c:pt>
                <c:pt idx="42">
                  <c:v>4.6148701201100151</c:v>
                </c:pt>
                <c:pt idx="43">
                  <c:v>4.7597252237614969</c:v>
                </c:pt>
                <c:pt idx="44">
                  <c:v>4.9085803218150392</c:v>
                </c:pt>
                <c:pt idx="45">
                  <c:v>5.0615307552523223</c:v>
                </c:pt>
                <c:pt idx="46">
                  <c:v>5.2186738105533355</c:v>
                </c:pt>
                <c:pt idx="47">
                  <c:v>5.3801087558774947</c:v>
                </c:pt>
                <c:pt idx="48">
                  <c:v>5.545936878046362</c:v>
                </c:pt>
                <c:pt idx="49">
                  <c:v>5.7162615203537142</c:v>
                </c:pt>
                <c:pt idx="50">
                  <c:v>5.8911881212316812</c:v>
                </c:pt>
                <c:pt idx="51">
                  <c:v>6.0708242538010309</c:v>
                </c:pt>
                <c:pt idx="52">
                  <c:v>6.2552796663370227</c:v>
                </c:pt>
                <c:pt idx="53">
                  <c:v>6.4446663236801465</c:v>
                </c:pt>
                <c:pt idx="54">
                  <c:v>6.6390984496265064</c:v>
                </c:pt>
                <c:pt idx="55">
                  <c:v>6.838692570329866</c:v>
                </c:pt>
                <c:pt idx="56">
                  <c:v>7.0435675587516613</c:v>
                </c:pt>
                <c:pt idx="57">
                  <c:v>7.2538446801945744</c:v>
                </c:pt>
                <c:pt idx="58">
                  <c:v>7.4696476389587989</c:v>
                </c:pt>
                <c:pt idx="59">
                  <c:v>7.6911026261591848</c:v>
                </c:pt>
                <c:pt idx="60">
                  <c:v>7.9183383687458067</c:v>
                </c:pt>
                <c:pt idx="61">
                  <c:v>8.1514861797690354</c:v>
                </c:pt>
                <c:pt idx="62">
                  <c:v>8.3906800099349823</c:v>
                </c:pt>
                <c:pt idx="63">
                  <c:v>8.6360565004965935</c:v>
                </c:pt>
                <c:pt idx="64">
                  <c:v>8.8877550375282528</c:v>
                </c:pt>
                <c:pt idx="65">
                  <c:v>9.1459178076353194</c:v>
                </c:pt>
                <c:pt idx="66">
                  <c:v>9.4106898551479503</c:v>
                </c:pt>
                <c:pt idx="67">
                  <c:v>9.6822191408557892</c:v>
                </c:pt>
                <c:pt idx="68">
                  <c:v>9.9606566023381582</c:v>
                </c:pt>
                <c:pt idx="69">
                  <c:v>10.246156215948556</c:v>
                </c:pt>
                <c:pt idx="70">
                  <c:v>10.538875060514254</c:v>
                </c:pt>
                <c:pt idx="71">
                  <c:v>10.838973382814435</c:v>
                </c:pt>
                <c:pt idx="72">
                  <c:v>11.146614664902073</c:v>
                </c:pt>
                <c:pt idx="73">
                  <c:v>11.461965693339225</c:v>
                </c:pt>
                <c:pt idx="74">
                  <c:v>11.785196630415188</c:v>
                </c:pt>
                <c:pt idx="75">
                  <c:v>12.116481087423457</c:v>
                </c:pt>
                <c:pt idx="76">
                  <c:v>12.455996200073745</c:v>
                </c:pt>
                <c:pt idx="77">
                  <c:v>12.803922706119202</c:v>
                </c:pt>
                <c:pt idx="78">
                  <c:v>13.16044502528398</c:v>
                </c:pt>
                <c:pt idx="79">
                  <c:v>13.525751341576129</c:v>
                </c:pt>
                <c:pt idx="80">
                  <c:v>13.900033688078034</c:v>
                </c:pt>
                <c:pt idx="81">
                  <c:v>14.283488034309707</c:v>
                </c:pt>
                <c:pt idx="82">
                  <c:v>14.676314376260681</c:v>
                </c:pt>
                <c:pt idx="83">
                  <c:v>15.078716829196074</c:v>
                </c:pt>
                <c:pt idx="84">
                  <c:v>15.490903723342026</c:v>
                </c:pt>
                <c:pt idx="85">
                  <c:v>15.913087702562622</c:v>
                </c:pt>
                <c:pt idx="86">
                  <c:v>16.345485826144373</c:v>
                </c:pt>
                <c:pt idx="87">
                  <c:v>16.788319673809788</c:v>
                </c:pt>
                <c:pt idx="88">
                  <c:v>17.241815454085085</c:v>
                </c:pt>
                <c:pt idx="89">
                  <c:v>17.706204116156691</c:v>
                </c:pt>
                <c:pt idx="90">
                  <c:v>18.181721465349572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386-47A4-9C12-9037D0719878}"/>
            </c:ext>
          </c:extLst>
        </c:ser>
        <c:ser>
          <c:idx val="8"/>
          <c:order val="8"/>
          <c:tx>
            <c:strRef>
              <c:f>Psychrometrics!$J$5</c:f>
              <c:strCache>
                <c:ptCount val="1"/>
                <c:pt idx="0">
                  <c:v>Hr = 20%</c:v>
                </c:pt>
              </c:strCache>
            </c:strRef>
          </c:tx>
          <c:spPr>
            <a:ln w="19050" cap="rnd">
              <a:solidFill>
                <a:schemeClr val="tx1">
                  <a:lumMod val="75000"/>
                  <a:lumOff val="25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7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7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PT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B386-47A4-9C12-9037D07198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Psychrometrics!$J$6:$J$96</c:f>
              <c:numCache>
                <c:formatCode>0.0000</c:formatCode>
                <c:ptCount val="91"/>
                <c:pt idx="0">
                  <c:v>0.75117293791467399</c:v>
                </c:pt>
                <c:pt idx="1">
                  <c:v>0.7790114791154642</c:v>
                </c:pt>
                <c:pt idx="2">
                  <c:v>0.80768453255034822</c:v>
                </c:pt>
                <c:pt idx="3">
                  <c:v>0.83729062593093107</c:v>
                </c:pt>
                <c:pt idx="4">
                  <c:v>0.86785591365167714</c:v>
                </c:pt>
                <c:pt idx="5">
                  <c:v>0.89940715749217004</c:v>
                </c:pt>
                <c:pt idx="6">
                  <c:v>0.93197173763244368</c:v>
                </c:pt>
                <c:pt idx="7">
                  <c:v>0.96557766381596732</c:v>
                </c:pt>
                <c:pt idx="8">
                  <c:v>1.000253586662105</c:v>
                </c:pt>
                <c:pt idx="9">
                  <c:v>1.0360288091304592</c:v>
                </c:pt>
                <c:pt idx="10">
                  <c:v>1.0729332981392232</c:v>
                </c:pt>
                <c:pt idx="11">
                  <c:v>1.1109976963397643</c:v>
                </c:pt>
                <c:pt idx="12">
                  <c:v>1.1502533340500807</c:v>
                </c:pt>
                <c:pt idx="13">
                  <c:v>1.1907322413494668</c:v>
                </c:pt>
                <c:pt idx="14">
                  <c:v>1.2324671603371709</c:v>
                </c:pt>
                <c:pt idx="15">
                  <c:v>1.2754915575575096</c:v>
                </c:pt>
                <c:pt idx="16">
                  <c:v>1.3198396365946587</c:v>
                </c:pt>
                <c:pt idx="17">
                  <c:v>1.3655463508397403</c:v>
                </c:pt>
                <c:pt idx="18">
                  <c:v>1.4126474164335363</c:v>
                </c:pt>
                <c:pt idx="19">
                  <c:v>1.4611793253878487</c:v>
                </c:pt>
                <c:pt idx="20">
                  <c:v>1.511179358888872</c:v>
                </c:pt>
                <c:pt idx="21">
                  <c:v>1.562685600786327</c:v>
                </c:pt>
                <c:pt idx="22">
                  <c:v>1.6157369512715498</c:v>
                </c:pt>
                <c:pt idx="23">
                  <c:v>1.6703731407485753</c:v>
                </c:pt>
                <c:pt idx="24">
                  <c:v>1.7266347439021581</c:v>
                </c:pt>
                <c:pt idx="25">
                  <c:v>1.7845631939666369</c:v>
                </c:pt>
                <c:pt idx="26">
                  <c:v>1.8442007972000485</c:v>
                </c:pt>
                <c:pt idx="27">
                  <c:v>1.90559074756781</c:v>
                </c:pt>
                <c:pt idx="28">
                  <c:v>1.9687771416407751</c:v>
                </c:pt>
                <c:pt idx="29">
                  <c:v>2.0338049937121507</c:v>
                </c:pt>
                <c:pt idx="30">
                  <c:v>2.1007202511383607</c:v>
                </c:pt>
                <c:pt idx="31">
                  <c:v>2.1695698099094951</c:v>
                </c:pt>
                <c:pt idx="32">
                  <c:v>2.2404015304536875</c:v>
                </c:pt>
                <c:pt idx="33">
                  <c:v>2.3132642536825649</c:v>
                </c:pt>
                <c:pt idx="34">
                  <c:v>2.3882078172817685</c:v>
                </c:pt>
                <c:pt idx="35">
                  <c:v>2.4652830722544792</c:v>
                </c:pt>
                <c:pt idx="36">
                  <c:v>2.5445418997226317</c:v>
                </c:pt>
                <c:pt idx="37">
                  <c:v>2.6260372279937445</c:v>
                </c:pt>
                <c:pt idx="38">
                  <c:v>2.7098230498991311</c:v>
                </c:pt>
                <c:pt idx="39">
                  <c:v>2.7959544404111014</c:v>
                </c:pt>
                <c:pt idx="40">
                  <c:v>2.8844875745466161</c:v>
                </c:pt>
                <c:pt idx="41">
                  <c:v>2.9754797455647028</c:v>
                </c:pt>
                <c:pt idx="42">
                  <c:v>3.0689893834658233</c:v>
                </c:pt>
                <c:pt idx="43">
                  <c:v>3.1650760738013228</c:v>
                </c:pt>
                <c:pt idx="44">
                  <c:v>3.2638005768017497</c:v>
                </c:pt>
                <c:pt idx="45">
                  <c:v>3.3652248468327737</c:v>
                </c:pt>
                <c:pt idx="46">
                  <c:v>3.469412052188118</c:v>
                </c:pt>
                <c:pt idx="47">
                  <c:v>3.5764265952287912</c:v>
                </c:pt>
                <c:pt idx="48">
                  <c:v>3.6863341328792485</c:v>
                </c:pt>
                <c:pt idx="49">
                  <c:v>3.7992015974901232</c:v>
                </c:pt>
                <c:pt idx="50">
                  <c:v>3.9150972180789103</c:v>
                </c:pt>
                <c:pt idx="51">
                  <c:v>4.0340905419591824</c:v>
                </c:pt>
                <c:pt idx="52">
                  <c:v>4.1562524567708072</c:v>
                </c:pt>
                <c:pt idx="53">
                  <c:v>4.2816552129219199</c:v>
                </c:pt>
                <c:pt idx="54">
                  <c:v>4.410372446456611</c:v>
                </c:pt>
                <c:pt idx="55">
                  <c:v>4.5424792023601022</c:v>
                </c:pt>
                <c:pt idx="56">
                  <c:v>4.6780519583156366</c:v>
                </c:pt>
                <c:pt idx="57">
                  <c:v>4.8171686489264136</c:v>
                </c:pt>
                <c:pt idx="58">
                  <c:v>4.9599086904177643</c:v>
                </c:pt>
                <c:pt idx="59">
                  <c:v>5.1063530058337872</c:v>
                </c:pt>
                <c:pt idx="60">
                  <c:v>5.2565840507449328</c:v>
                </c:pt>
                <c:pt idx="61">
                  <c:v>5.4106858394816806</c:v>
                </c:pt>
                <c:pt idx="62">
                  <c:v>5.5687439719120171</c:v>
                </c:pt>
                <c:pt idx="63">
                  <c:v>5.7308456607795391</c:v>
                </c:pt>
                <c:pt idx="64">
                  <c:v>5.8970797596200883</c:v>
                </c:pt>
                <c:pt idx="65">
                  <c:v>6.0675367912766562</c:v>
                </c:pt>
                <c:pt idx="66">
                  <c:v>6.2423089770302029</c:v>
                </c:pt>
                <c:pt idx="67">
                  <c:v>6.4214902663682798</c:v>
                </c:pt>
                <c:pt idx="68">
                  <c:v>6.6051763674112394</c:v>
                </c:pt>
                <c:pt idx="69">
                  <c:v>6.793464778017956</c:v>
                </c:pt>
                <c:pt idx="70">
                  <c:v>6.9864548175934802</c:v>
                </c:pt>
                <c:pt idx="71">
                  <c:v>7.1842476596220211</c:v>
                </c:pt>
                <c:pt idx="72">
                  <c:v>7.3869463649490203</c:v>
                </c:pt>
                <c:pt idx="73">
                  <c:v>7.5946559158380449</c:v>
                </c:pt>
                <c:pt idx="74">
                  <c:v>7.8074832508273646</c:v>
                </c:pt>
                <c:pt idx="75">
                  <c:v>8.025537300414177</c:v>
                </c:pt>
                <c:pt idx="76">
                  <c:v>8.2489290235938153</c:v>
                </c:pt>
                <c:pt idx="77">
                  <c:v>8.4777714452827144</c:v>
                </c:pt>
                <c:pt idx="78">
                  <c:v>8.7121796946560526</c:v>
                </c:pt>
                <c:pt idx="79">
                  <c:v>8.9522710444298585</c:v>
                </c:pt>
                <c:pt idx="80">
                  <c:v>9.1981649511207113</c:v>
                </c:pt>
                <c:pt idx="81">
                  <c:v>9.449983096317105</c:v>
                </c:pt>
                <c:pt idx="82">
                  <c:v>9.7078494289953614</c:v>
                </c:pt>
                <c:pt idx="83">
                  <c:v>9.9718902089180439</c:v>
                </c:pt>
                <c:pt idx="84">
                  <c:v>10.242234051151145</c:v>
                </c:pt>
                <c:pt idx="85">
                  <c:v>10.519011971739211</c:v>
                </c:pt>
                <c:pt idx="86">
                  <c:v>10.802357434578553</c:v>
                </c:pt>
                <c:pt idx="87">
                  <c:v>11.092406399530573</c:v>
                </c:pt>
                <c:pt idx="88">
                  <c:v>11.389297371817614</c:v>
                </c:pt>
                <c:pt idx="89">
                  <c:v>11.693171452748272</c:v>
                </c:pt>
                <c:pt idx="90">
                  <c:v>12.004172391815809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386-47A4-9C12-9037D0719878}"/>
            </c:ext>
          </c:extLst>
        </c:ser>
        <c:ser>
          <c:idx val="9"/>
          <c:order val="9"/>
          <c:tx>
            <c:strRef>
              <c:f>Psychrometrics!$K$5</c:f>
              <c:strCache>
                <c:ptCount val="1"/>
                <c:pt idx="0">
                  <c:v>Hr = 10%</c:v>
                </c:pt>
              </c:strCache>
            </c:strRef>
          </c:tx>
          <c:spPr>
            <a:ln w="19050" cap="rnd">
              <a:solidFill>
                <a:schemeClr val="tx1">
                  <a:lumMod val="75000"/>
                  <a:lumOff val="25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7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7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PT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B386-47A4-9C12-9037D07198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Psychrometrics!$K$6:$K$96</c:f>
              <c:numCache>
                <c:formatCode>0.0000</c:formatCode>
                <c:ptCount val="91"/>
                <c:pt idx="0">
                  <c:v>0.37535979286991356</c:v>
                </c:pt>
                <c:pt idx="1">
                  <c:v>0.38926195631937849</c:v>
                </c:pt>
                <c:pt idx="2">
                  <c:v>0.40358021296205737</c:v>
                </c:pt>
                <c:pt idx="3">
                  <c:v>0.41836370284991997</c:v>
                </c:pt>
                <c:pt idx="4">
                  <c:v>0.4336254185115464</c:v>
                </c:pt>
                <c:pt idx="5">
                  <c:v>0.44937865099915175</c:v>
                </c:pt>
                <c:pt idx="6">
                  <c:v>0.46563699510597828</c:v>
                </c:pt>
                <c:pt idx="7">
                  <c:v>0.48241435464267307</c:v>
                </c:pt>
                <c:pt idx="8">
                  <c:v>0.49972494777288057</c:v>
                </c:pt>
                <c:pt idx="9">
                  <c:v>0.51758331240854349</c:v>
                </c:pt>
                <c:pt idx="10">
                  <c:v>0.53600431166523366</c:v>
                </c:pt>
                <c:pt idx="11">
                  <c:v>0.55500313937785861</c:v>
                </c:pt>
                <c:pt idx="12">
                  <c:v>0.57459532567726046</c:v>
                </c:pt>
                <c:pt idx="13">
                  <c:v>0.59479674262804383</c:v>
                </c:pt>
                <c:pt idx="14">
                  <c:v>0.61562360992815857</c:v>
                </c:pt>
                <c:pt idx="15">
                  <c:v>0.63709250067057122</c:v>
                </c:pt>
                <c:pt idx="16">
                  <c:v>0.65922034716769451</c:v>
                </c:pt>
                <c:pt idx="17">
                  <c:v>0.68202444683891483</c:v>
                </c:pt>
                <c:pt idx="18">
                  <c:v>0.70552246816187214</c:v>
                </c:pt>
                <c:pt idx="19">
                  <c:v>0.72973245668794573</c:v>
                </c:pt>
                <c:pt idx="20">
                  <c:v>0.75467284112254396</c:v>
                </c:pt>
                <c:pt idx="21">
                  <c:v>0.7803624394709312</c:v>
                </c:pt>
                <c:pt idx="22">
                  <c:v>0.80682046525001205</c:v>
                </c:pt>
                <c:pt idx="23">
                  <c:v>0.83406653376686957</c:v>
                </c:pt>
                <c:pt idx="24">
                  <c:v>0.86212066846475199</c:v>
                </c:pt>
                <c:pt idx="25">
                  <c:v>0.89100330733714683</c:v>
                </c:pt>
                <c:pt idx="26">
                  <c:v>0.92073530941076664</c:v>
                </c:pt>
                <c:pt idx="27">
                  <c:v>0.95133796129818693</c:v>
                </c:pt>
                <c:pt idx="28">
                  <c:v>0.98283298382105688</c:v>
                </c:pt>
                <c:pt idx="29">
                  <c:v>1.0152425387045938</c:v>
                </c:pt>
                <c:pt idx="30">
                  <c:v>1.0485892353443105</c:v>
                </c:pt>
                <c:pt idx="31">
                  <c:v>1.0828961376461392</c:v>
                </c:pt>
                <c:pt idx="32">
                  <c:v>1.1181867709404134</c:v>
                </c:pt>
                <c:pt idx="33">
                  <c:v>1.1544851289714884</c:v>
                </c:pt>
                <c:pt idx="34">
                  <c:v>1.1918156809631673</c:v>
                </c:pt>
                <c:pt idx="35">
                  <c:v>1.2302033787619646</c:v>
                </c:pt>
                <c:pt idx="36">
                  <c:v>1.2696736640585748</c:v>
                </c:pt>
                <c:pt idx="37">
                  <c:v>1.3102524756894403</c:v>
                </c:pt>
                <c:pt idx="38">
                  <c:v>1.3519662570191566</c:v>
                </c:pt>
                <c:pt idx="39">
                  <c:v>1.3948419634053073</c:v>
                </c:pt>
                <c:pt idx="40">
                  <c:v>1.4389070697471498</c:v>
                </c:pt>
                <c:pt idx="41">
                  <c:v>1.4841895781194208</c:v>
                </c:pt>
                <c:pt idx="42">
                  <c:v>1.5307180254928767</c:v>
                </c:pt>
                <c:pt idx="43">
                  <c:v>1.5785214915430623</c:v>
                </c:pt>
                <c:pt idx="44">
                  <c:v>1.6276296065490437</c:v>
                </c:pt>
                <c:pt idx="45">
                  <c:v>1.6780725593836943</c:v>
                </c:pt>
                <c:pt idx="46">
                  <c:v>1.7298811055973817</c:v>
                </c:pt>
                <c:pt idx="47">
                  <c:v>1.7830865755967258</c:v>
                </c:pt>
                <c:pt idx="48">
                  <c:v>1.8377208829206513</c:v>
                </c:pt>
                <c:pt idx="49">
                  <c:v>1.8938165326153671</c:v>
                </c:pt>
                <c:pt idx="50">
                  <c:v>1.9514066297106389</c:v>
                </c:pt>
                <c:pt idx="51">
                  <c:v>2.0105248877992099</c:v>
                </c:pt>
                <c:pt idx="52">
                  <c:v>2.0712056377220329</c:v>
                </c:pt>
                <c:pt idx="53">
                  <c:v>2.133483836361</c:v>
                </c:pt>
                <c:pt idx="54">
                  <c:v>2.1973950755422953</c:v>
                </c:pt>
                <c:pt idx="55">
                  <c:v>2.2629755910523039</c:v>
                </c:pt>
                <c:pt idx="56">
                  <c:v>2.330262271769032</c:v>
                </c:pt>
                <c:pt idx="57">
                  <c:v>2.3992926689114467</c:v>
                </c:pt>
                <c:pt idx="58">
                  <c:v>2.4701050054098834</c:v>
                </c:pt>
                <c:pt idx="59">
                  <c:v>2.5427381854000184</c:v>
                </c:pt>
                <c:pt idx="60">
                  <c:v>2.6172318038438842</c:v>
                </c:pt>
                <c:pt idx="61">
                  <c:v>2.6936261562805304</c:v>
                </c:pt>
                <c:pt idx="62">
                  <c:v>2.7719622487100528</c:v>
                </c:pt>
                <c:pt idx="63">
                  <c:v>2.8522818076140526</c:v>
                </c:pt>
                <c:pt idx="64">
                  <c:v>2.9346272901159631</c:v>
                </c:pt>
                <c:pt idx="65">
                  <c:v>3.019041894285329</c:v>
                </c:pt>
                <c:pt idx="66">
                  <c:v>3.1055695695889605</c:v>
                </c:pt>
                <c:pt idx="67">
                  <c:v>3.1942550274936456</c:v>
                </c:pt>
                <c:pt idx="68">
                  <c:v>3.2851437522239468</c:v>
                </c:pt>
                <c:pt idx="69">
                  <c:v>3.3782820116793464</c:v>
                </c:pt>
                <c:pt idx="70">
                  <c:v>3.4737168685150492</c:v>
                </c:pt>
                <c:pt idx="71">
                  <c:v>3.571496191390934</c:v>
                </c:pt>
                <c:pt idx="72">
                  <c:v>3.6716686663930966</c:v>
                </c:pt>
                <c:pt idx="73">
                  <c:v>3.7742838086330837</c:v>
                </c:pt>
                <c:pt idx="74">
                  <c:v>3.8793919740292133</c:v>
                </c:pt>
                <c:pt idx="75">
                  <c:v>3.9870443712756085</c:v>
                </c:pt>
                <c:pt idx="76">
                  <c:v>4.0972930740039182</c:v>
                </c:pt>
                <c:pt idx="77">
                  <c:v>4.2101910331431167</c:v>
                </c:pt>
                <c:pt idx="78">
                  <c:v>4.3257920894834401</c:v>
                </c:pt>
                <c:pt idx="79">
                  <c:v>4.4441509864496549</c:v>
                </c:pt>
                <c:pt idx="80">
                  <c:v>4.5653233830900639</c:v>
                </c:pt>
                <c:pt idx="81">
                  <c:v>4.6893658672878029</c:v>
                </c:pt>
                <c:pt idx="82">
                  <c:v>4.8163359691999075</c:v>
                </c:pt>
                <c:pt idx="83">
                  <c:v>4.9462921749317728</c:v>
                </c:pt>
                <c:pt idx="84">
                  <c:v>5.0792939404533222</c:v>
                </c:pt>
                <c:pt idx="85">
                  <c:v>5.2154017057641591</c:v>
                </c:pt>
                <c:pt idx="86">
                  <c:v>5.3546769093150157</c:v>
                </c:pt>
                <c:pt idx="87">
                  <c:v>5.4971820026931519</c:v>
                </c:pt>
                <c:pt idx="88">
                  <c:v>5.6429804655791651</c:v>
                </c:pt>
                <c:pt idx="89">
                  <c:v>5.7921368209841555</c:v>
                </c:pt>
                <c:pt idx="90">
                  <c:v>5.9447166507741773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386-47A4-9C12-9037D0719878}"/>
            </c:ext>
          </c:extLst>
        </c:ser>
        <c:ser>
          <c:idx val="10"/>
          <c:order val="10"/>
          <c:tx>
            <c:strRef>
              <c:f>Psychrometrics!$L$5</c:f>
              <c:strCache>
                <c:ptCount val="1"/>
                <c:pt idx="0">
                  <c:v>H = 10 KJ/kg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B386-47A4-9C12-9037D07198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Psychrometrics!$L$6:$L$96</c:f>
              <c:numCache>
                <c:formatCode>0.0000</c:formatCode>
                <c:ptCount val="91"/>
                <c:pt idx="0">
                  <c:v>3.9984006397441023</c:v>
                </c:pt>
                <c:pt idx="1">
                  <c:v>3.7958695886775411</c:v>
                </c:pt>
                <c:pt idx="2">
                  <c:v>3.5934890485284829</c:v>
                </c:pt>
                <c:pt idx="3">
                  <c:v>3.3912588515810032</c:v>
                </c:pt>
                <c:pt idx="4">
                  <c:v>3.1891788303682644</c:v>
                </c:pt>
                <c:pt idx="5">
                  <c:v>2.9872488176720609</c:v>
                </c:pt>
                <c:pt idx="6">
                  <c:v>2.7854686465223533</c:v>
                </c:pt>
                <c:pt idx="7">
                  <c:v>2.5838381501968088</c:v>
                </c:pt>
                <c:pt idx="8">
                  <c:v>2.3823571622203441</c:v>
                </c:pt>
                <c:pt idx="9">
                  <c:v>2.1810255163646652</c:v>
                </c:pt>
                <c:pt idx="10">
                  <c:v>1.9798430466478107</c:v>
                </c:pt>
                <c:pt idx="11">
                  <c:v>1.7788095873336969</c:v>
                </c:pt>
                <c:pt idx="12">
                  <c:v>1.5779249729316607</c:v>
                </c:pt>
                <c:pt idx="13">
                  <c:v>1.3771890381960059</c:v>
                </c:pt>
                <c:pt idx="14">
                  <c:v>1.1766016181255521</c:v>
                </c:pt>
                <c:pt idx="15">
                  <c:v>0.97616254796318025</c:v>
                </c:pt>
                <c:pt idx="16">
                  <c:v>0.77587166319538281</c:v>
                </c:pt>
                <c:pt idx="17">
                  <c:v>0.57572879955181355</c:v>
                </c:pt>
                <c:pt idx="18">
                  <c:v>0.37573379300483756</c:v>
                </c:pt>
                <c:pt idx="19">
                  <c:v>0.17588647976908431</c:v>
                </c:pt>
                <c:pt idx="20">
                  <c:v>-2.3813303699000039E-2</c:v>
                </c:pt>
                <c:pt idx="21">
                  <c:v>-0.22336572070159869</c:v>
                </c:pt>
                <c:pt idx="22">
                  <c:v>-0.42277093429996937</c:v>
                </c:pt>
                <c:pt idx="23">
                  <c:v>-0.62202910731488825</c:v>
                </c:pt>
                <c:pt idx="24">
                  <c:v>-0.82114040232709251</c:v>
                </c:pt>
                <c:pt idx="25">
                  <c:v>-1.0201049816777259</c:v>
                </c:pt>
                <c:pt idx="26">
                  <c:v>-1.2189230074687742</c:v>
                </c:pt>
                <c:pt idx="27">
                  <c:v>-1.4175946415635106</c:v>
                </c:pt>
                <c:pt idx="28">
                  <c:v>-1.6161200455869316</c:v>
                </c:pt>
                <c:pt idx="29">
                  <c:v>-1.8144993809261978</c:v>
                </c:pt>
                <c:pt idx="30">
                  <c:v>-2.012732808731069</c:v>
                </c:pt>
                <c:pt idx="31">
                  <c:v>-2.2108204899143424</c:v>
                </c:pt>
                <c:pt idx="32">
                  <c:v>-2.408762585152286</c:v>
                </c:pt>
                <c:pt idx="33">
                  <c:v>-2.6065592548850764</c:v>
                </c:pt>
                <c:pt idx="34">
                  <c:v>-2.8042106593172291</c:v>
                </c:pt>
                <c:pt idx="35">
                  <c:v>-3.0017169584180299</c:v>
                </c:pt>
                <c:pt idx="36">
                  <c:v>-3.1990783119219723</c:v>
                </c:pt>
                <c:pt idx="37">
                  <c:v>-3.3962948793291816</c:v>
                </c:pt>
                <c:pt idx="38">
                  <c:v>-3.5933668199058486</c:v>
                </c:pt>
                <c:pt idx="39">
                  <c:v>-3.7902942926846572</c:v>
                </c:pt>
                <c:pt idx="40">
                  <c:v>-3.9870774564652125</c:v>
                </c:pt>
                <c:pt idx="41">
                  <c:v>-4.1837164698144642</c:v>
                </c:pt>
                <c:pt idx="42">
                  <c:v>-4.3802114910671408</c:v>
                </c:pt>
                <c:pt idx="43">
                  <c:v>-4.576562678326165</c:v>
                </c:pt>
                <c:pt idx="44">
                  <c:v>-4.772770189463083</c:v>
                </c:pt>
                <c:pt idx="45">
                  <c:v>-4.9688341821184894</c:v>
                </c:pt>
                <c:pt idx="46">
                  <c:v>-5.1647548137024426</c:v>
                </c:pt>
                <c:pt idx="47">
                  <c:v>-5.3605322413948944</c:v>
                </c:pt>
                <c:pt idx="48">
                  <c:v>-5.556166622146101</c:v>
                </c:pt>
                <c:pt idx="49">
                  <c:v>-5.7516581126770507</c:v>
                </c:pt>
                <c:pt idx="50">
                  <c:v>-5.9470068694798819</c:v>
                </c:pt>
                <c:pt idx="51">
                  <c:v>-6.1422130488182916</c:v>
                </c:pt>
                <c:pt idx="52">
                  <c:v>-6.3372768067279628</c:v>
                </c:pt>
                <c:pt idx="53">
                  <c:v>-6.532198299016974</c:v>
                </c:pt>
                <c:pt idx="54">
                  <c:v>-6.7269776812662183</c:v>
                </c:pt>
                <c:pt idx="55">
                  <c:v>-6.9216151088298092</c:v>
                </c:pt>
                <c:pt idx="56">
                  <c:v>-7.116110736835509</c:v>
                </c:pt>
                <c:pt idx="57">
                  <c:v>-7.3104647201851201</c:v>
                </c:pt>
                <c:pt idx="58">
                  <c:v>-7.5046772135549169</c:v>
                </c:pt>
                <c:pt idx="59">
                  <c:v>-7.6987483713960412</c:v>
                </c:pt>
                <c:pt idx="60">
                  <c:v>-7.8926783479349174</c:v>
                </c:pt>
                <c:pt idx="61">
                  <c:v>-8.086467297173666</c:v>
                </c:pt>
                <c:pt idx="62">
                  <c:v>-8.2801153728904975</c:v>
                </c:pt>
                <c:pt idx="63">
                  <c:v>-8.473622728640132</c:v>
                </c:pt>
                <c:pt idx="64">
                  <c:v>-8.6669895177542049</c:v>
                </c:pt>
                <c:pt idx="65">
                  <c:v>-8.8602158933416622</c:v>
                </c:pt>
                <c:pt idx="66">
                  <c:v>-9.0533020082891689</c:v>
                </c:pt>
                <c:pt idx="67">
                  <c:v>-9.2462480152615178</c:v>
                </c:pt>
                <c:pt idx="68">
                  <c:v>-9.4390540667020257</c:v>
                </c:pt>
                <c:pt idx="69">
                  <c:v>-9.6317203148329362</c:v>
                </c:pt>
                <c:pt idx="70">
                  <c:v>-9.8242469116558198</c:v>
                </c:pt>
                <c:pt idx="71">
                  <c:v>-10.01663400895198</c:v>
                </c:pt>
                <c:pt idx="72">
                  <c:v>-10.208881758282839</c:v>
                </c:pt>
                <c:pt idx="73">
                  <c:v>-10.40099031099035</c:v>
                </c:pt>
                <c:pt idx="74">
                  <c:v>-10.592959818197384</c:v>
                </c:pt>
                <c:pt idx="75">
                  <c:v>-10.784790430808131</c:v>
                </c:pt>
                <c:pt idx="76">
                  <c:v>-10.976482299508493</c:v>
                </c:pt>
                <c:pt idx="77">
                  <c:v>-11.168035574766483</c:v>
                </c:pt>
                <c:pt idx="78">
                  <c:v>-11.359450406832613</c:v>
                </c:pt>
                <c:pt idx="79">
                  <c:v>-11.550726945740291</c:v>
                </c:pt>
                <c:pt idx="80">
                  <c:v>-11.741865341306205</c:v>
                </c:pt>
                <c:pt idx="81">
                  <c:v>-11.932865743130733</c:v>
                </c:pt>
                <c:pt idx="82">
                  <c:v>-12.123728300598311</c:v>
                </c:pt>
                <c:pt idx="83">
                  <c:v>-12.314453162877834</c:v>
                </c:pt>
                <c:pt idx="84">
                  <c:v>-12.505040478923046</c:v>
                </c:pt>
                <c:pt idx="85">
                  <c:v>-12.695490397472918</c:v>
                </c:pt>
                <c:pt idx="86">
                  <c:v>-12.88580306705205</c:v>
                </c:pt>
                <c:pt idx="87">
                  <c:v>-13.075978635971047</c:v>
                </c:pt>
                <c:pt idx="88">
                  <c:v>-13.266017252326897</c:v>
                </c:pt>
                <c:pt idx="89">
                  <c:v>-13.455919064003377</c:v>
                </c:pt>
                <c:pt idx="90">
                  <c:v>-13.645684218671414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B386-47A4-9C12-9037D0719878}"/>
            </c:ext>
          </c:extLst>
        </c:ser>
        <c:ser>
          <c:idx val="11"/>
          <c:order val="11"/>
          <c:tx>
            <c:strRef>
              <c:f>Psychrometrics!$M$5</c:f>
              <c:strCache>
                <c:ptCount val="1"/>
                <c:pt idx="0">
                  <c:v>H = 30 KJ/kg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8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B386-47A4-9C12-9037D07198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Psychrometrics!$M$6:$M$96</c:f>
              <c:numCache>
                <c:formatCode>0.0000</c:formatCode>
                <c:ptCount val="91"/>
                <c:pt idx="18">
                  <c:v>8.3193657804221246</c:v>
                </c:pt>
                <c:pt idx="19">
                  <c:v>8.1165853406758313</c:v>
                </c:pt>
                <c:pt idx="20">
                  <c:v>7.9139545959676125</c:v>
                </c:pt>
                <c:pt idx="21">
                  <c:v>7.7114733805985232</c:v>
                </c:pt>
                <c:pt idx="22">
                  <c:v>7.5091415291140837</c:v>
                </c:pt>
                <c:pt idx="23">
                  <c:v>7.3069588763038222</c:v>
                </c:pt>
                <c:pt idx="24">
                  <c:v>7.104925257200831</c:v>
                </c:pt>
                <c:pt idx="25">
                  <c:v>6.9030405070813119</c:v>
                </c:pt>
                <c:pt idx="26">
                  <c:v>6.7013044614641339</c:v>
                </c:pt>
                <c:pt idx="27">
                  <c:v>6.4997169561103831</c:v>
                </c:pt>
                <c:pt idx="28">
                  <c:v>6.2982778270229201</c:v>
                </c:pt>
                <c:pt idx="29">
                  <c:v>6.0969869104459313</c:v>
                </c:pt>
                <c:pt idx="30">
                  <c:v>5.8958440428644865</c:v>
                </c:pt>
                <c:pt idx="31">
                  <c:v>5.6948490610040992</c:v>
                </c:pt>
                <c:pt idx="32">
                  <c:v>5.4940018018302794</c:v>
                </c:pt>
                <c:pt idx="33">
                  <c:v>5.2933021025480995</c:v>
                </c:pt>
                <c:pt idx="34">
                  <c:v>5.0927498006017489</c:v>
                </c:pt>
                <c:pt idx="35">
                  <c:v>4.8923447336740935</c:v>
                </c:pt>
                <c:pt idx="36">
                  <c:v>4.6920867396862471</c:v>
                </c:pt>
                <c:pt idx="37">
                  <c:v>4.4919756567971261</c:v>
                </c:pt>
                <c:pt idx="38">
                  <c:v>4.2920113234030133</c:v>
                </c:pt>
                <c:pt idx="39">
                  <c:v>4.092193578137131</c:v>
                </c:pt>
                <c:pt idx="40">
                  <c:v>3.8925222598691986</c:v>
                </c:pt>
                <c:pt idx="41">
                  <c:v>3.6929972077050008</c:v>
                </c:pt>
                <c:pt idx="42">
                  <c:v>3.4936182609859605</c:v>
                </c:pt>
                <c:pt idx="43">
                  <c:v>3.2943852592887022</c:v>
                </c:pt>
                <c:pt idx="44">
                  <c:v>3.095298042424623</c:v>
                </c:pt>
                <c:pt idx="45">
                  <c:v>2.896356450439467</c:v>
                </c:pt>
                <c:pt idx="46">
                  <c:v>2.6975603236128904</c:v>
                </c:pt>
                <c:pt idx="47">
                  <c:v>2.4989095024580399</c:v>
                </c:pt>
                <c:pt idx="48">
                  <c:v>2.3004038277211238</c:v>
                </c:pt>
                <c:pt idx="49">
                  <c:v>2.1020431403809834</c:v>
                </c:pt>
                <c:pt idx="50">
                  <c:v>1.9038272816486759</c:v>
                </c:pt>
                <c:pt idx="51">
                  <c:v>1.705756092967043</c:v>
                </c:pt>
                <c:pt idx="52">
                  <c:v>1.5078294160102932</c:v>
                </c:pt>
                <c:pt idx="53">
                  <c:v>1.3100470926835777</c:v>
                </c:pt>
                <c:pt idx="54">
                  <c:v>1.1124089651225695</c:v>
                </c:pt>
                <c:pt idx="55">
                  <c:v>0.91491487569304342</c:v>
                </c:pt>
                <c:pt idx="56">
                  <c:v>0.71756466699045895</c:v>
                </c:pt>
                <c:pt idx="57">
                  <c:v>0.52035818183953886</c:v>
                </c:pt>
                <c:pt idx="58">
                  <c:v>0.32329526329385444</c:v>
                </c:pt>
                <c:pt idx="59">
                  <c:v>0.12637575463540807</c:v>
                </c:pt>
                <c:pt idx="60">
                  <c:v>-7.0400500625782111E-2</c:v>
                </c:pt>
                <c:pt idx="61">
                  <c:v>-0.2670336587520965</c:v>
                </c:pt>
                <c:pt idx="62">
                  <c:v>-0.46352387577872795</c:v>
                </c:pt>
                <c:pt idx="63">
                  <c:v>-0.65987130751409406</c:v>
                </c:pt>
                <c:pt idx="64">
                  <c:v>-0.85607610954024971</c:v>
                </c:pt>
                <c:pt idx="65">
                  <c:v>-1.0521384372132971</c:v>
                </c:pt>
                <c:pt idx="66">
                  <c:v>-1.2480584456637971</c:v>
                </c:pt>
                <c:pt idx="67">
                  <c:v>-1.4438362897971764</c:v>
                </c:pt>
                <c:pt idx="68">
                  <c:v>-1.6394721242941381</c:v>
                </c:pt>
                <c:pt idx="69">
                  <c:v>-1.8349661036110669</c:v>
                </c:pt>
                <c:pt idx="70">
                  <c:v>-2.0303183819804373</c:v>
                </c:pt>
                <c:pt idx="71">
                  <c:v>-2.225529113411219</c:v>
                </c:pt>
                <c:pt idx="72">
                  <c:v>-2.4205984516892793</c:v>
                </c:pt>
                <c:pt idx="73">
                  <c:v>-2.61552655037779</c:v>
                </c:pt>
                <c:pt idx="74">
                  <c:v>-2.8103135628176297</c:v>
                </c:pt>
                <c:pt idx="75">
                  <c:v>-3.0049596421277842</c:v>
                </c:pt>
                <c:pt idx="76">
                  <c:v>-3.1994649412057496</c:v>
                </c:pt>
                <c:pt idx="77">
                  <c:v>-3.3938296127279304</c:v>
                </c:pt>
                <c:pt idx="78">
                  <c:v>-3.5880538091500429</c:v>
                </c:pt>
                <c:pt idx="79">
                  <c:v>-3.7821376827075102</c:v>
                </c:pt>
                <c:pt idx="80">
                  <c:v>-3.9760813854158581</c:v>
                </c:pt>
                <c:pt idx="81">
                  <c:v>-4.1698850690711211</c:v>
                </c:pt>
                <c:pt idx="82">
                  <c:v>-4.3635488852502275</c:v>
                </c:pt>
                <c:pt idx="83">
                  <c:v>-4.557072985311402</c:v>
                </c:pt>
                <c:pt idx="84">
                  <c:v>-4.750457520394554</c:v>
                </c:pt>
                <c:pt idx="85">
                  <c:v>-4.9437026414216785</c:v>
                </c:pt>
                <c:pt idx="86">
                  <c:v>-5.1368084990972429</c:v>
                </c:pt>
                <c:pt idx="87">
                  <c:v>-5.329775243908581</c:v>
                </c:pt>
                <c:pt idx="88">
                  <c:v>-5.52260302612628</c:v>
                </c:pt>
                <c:pt idx="89">
                  <c:v>-5.7152919958045807</c:v>
                </c:pt>
                <c:pt idx="90">
                  <c:v>-5.9078423027817566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386-47A4-9C12-9037D0719878}"/>
            </c:ext>
          </c:extLst>
        </c:ser>
        <c:ser>
          <c:idx val="12"/>
          <c:order val="12"/>
          <c:tx>
            <c:strRef>
              <c:f>Psychrometrics!$N$5</c:f>
              <c:strCache>
                <c:ptCount val="1"/>
                <c:pt idx="0">
                  <c:v>H = 50 KJ/kg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33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B386-47A4-9C12-9037D07198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Psychrometrics!$N$6:$N$96</c:f>
              <c:numCache>
                <c:formatCode>0.0000</c:formatCode>
                <c:ptCount val="91"/>
                <c:pt idx="33">
                  <c:v>13.193163459981276</c:v>
                </c:pt>
                <c:pt idx="34">
                  <c:v>12.989710260520724</c:v>
                </c:pt>
                <c:pt idx="35">
                  <c:v>12.786406425766215</c:v>
                </c:pt>
                <c:pt idx="36">
                  <c:v>12.583251791294465</c:v>
                </c:pt>
                <c:pt idx="37">
                  <c:v>12.380246192923433</c:v>
                </c:pt>
                <c:pt idx="38">
                  <c:v>12.177389466711876</c:v>
                </c:pt>
                <c:pt idx="39">
                  <c:v>11.97468144895892</c:v>
                </c:pt>
                <c:pt idx="40">
                  <c:v>11.772121976203609</c:v>
                </c:pt>
                <c:pt idx="41">
                  <c:v>11.569710885224465</c:v>
                </c:pt>
                <c:pt idx="42">
                  <c:v>11.367448013039061</c:v>
                </c:pt>
                <c:pt idx="43">
                  <c:v>11.165333196903569</c:v>
                </c:pt>
                <c:pt idx="44">
                  <c:v>10.96336627431233</c:v>
                </c:pt>
                <c:pt idx="45">
                  <c:v>10.761547082997424</c:v>
                </c:pt>
                <c:pt idx="46">
                  <c:v>10.559875460928223</c:v>
                </c:pt>
                <c:pt idx="47">
                  <c:v>10.358351246310974</c:v>
                </c:pt>
                <c:pt idx="48">
                  <c:v>10.156974277588349</c:v>
                </c:pt>
                <c:pt idx="49">
                  <c:v>9.9557443934390175</c:v>
                </c:pt>
                <c:pt idx="50">
                  <c:v>9.7546614327772332</c:v>
                </c:pt>
                <c:pt idx="51">
                  <c:v>9.5537252347523776</c:v>
                </c:pt>
                <c:pt idx="52">
                  <c:v>9.3529356387485478</c:v>
                </c:pt>
                <c:pt idx="53">
                  <c:v>9.1522924843841302</c:v>
                </c:pt>
                <c:pt idx="54">
                  <c:v>8.9517956115113559</c:v>
                </c:pt>
                <c:pt idx="55">
                  <c:v>8.7514448602158961</c:v>
                </c:pt>
                <c:pt idx="56">
                  <c:v>8.5512400708164247</c:v>
                </c:pt>
                <c:pt idx="57">
                  <c:v>8.3511810838641978</c:v>
                </c:pt>
                <c:pt idx="58">
                  <c:v>8.151267740142627</c:v>
                </c:pt>
                <c:pt idx="59">
                  <c:v>7.9514998806668578</c:v>
                </c:pt>
                <c:pt idx="60">
                  <c:v>7.7518773466833535</c:v>
                </c:pt>
                <c:pt idx="61">
                  <c:v>7.552399979669473</c:v>
                </c:pt>
                <c:pt idx="62">
                  <c:v>7.3530676213330421</c:v>
                </c:pt>
                <c:pt idx="63">
                  <c:v>7.1538801136119448</c:v>
                </c:pt>
                <c:pt idx="64">
                  <c:v>6.9548372986737066</c:v>
                </c:pt>
                <c:pt idx="65">
                  <c:v>6.7559390189150683</c:v>
                </c:pt>
                <c:pt idx="66">
                  <c:v>6.5571851169615742</c:v>
                </c:pt>
                <c:pt idx="67">
                  <c:v>6.3585754356671647</c:v>
                </c:pt>
                <c:pt idx="68">
                  <c:v>6.1601098181137495</c:v>
                </c:pt>
                <c:pt idx="69">
                  <c:v>5.9617881076108015</c:v>
                </c:pt>
                <c:pt idx="70">
                  <c:v>5.7636101476949451</c:v>
                </c:pt>
                <c:pt idx="71">
                  <c:v>5.5655757821295424</c:v>
                </c:pt>
                <c:pt idx="72">
                  <c:v>5.3676848549042813</c:v>
                </c:pt>
                <c:pt idx="73">
                  <c:v>5.1699372102347709</c:v>
                </c:pt>
                <c:pt idx="74">
                  <c:v>4.9723326925621238</c:v>
                </c:pt>
                <c:pt idx="75">
                  <c:v>4.7748711465525613</c:v>
                </c:pt>
                <c:pt idx="76">
                  <c:v>4.5775524170969941</c:v>
                </c:pt>
                <c:pt idx="77">
                  <c:v>4.3803763493106214</c:v>
                </c:pt>
                <c:pt idx="78">
                  <c:v>4.1833427885325261</c:v>
                </c:pt>
                <c:pt idx="79">
                  <c:v>3.9864515803252707</c:v>
                </c:pt>
                <c:pt idx="80">
                  <c:v>3.7897025704744887</c:v>
                </c:pt>
                <c:pt idx="81">
                  <c:v>3.5930956049884908</c:v>
                </c:pt>
                <c:pt idx="82">
                  <c:v>3.396630530097855</c:v>
                </c:pt>
                <c:pt idx="83">
                  <c:v>3.200307192255031</c:v>
                </c:pt>
                <c:pt idx="84">
                  <c:v>3.0041254381339364</c:v>
                </c:pt>
                <c:pt idx="85">
                  <c:v>2.8080851146295602</c:v>
                </c:pt>
                <c:pt idx="86">
                  <c:v>2.6121860688575644</c:v>
                </c:pt>
                <c:pt idx="87">
                  <c:v>2.416428148153885</c:v>
                </c:pt>
                <c:pt idx="88">
                  <c:v>2.2208112000743356</c:v>
                </c:pt>
                <c:pt idx="89">
                  <c:v>2.0253350723942134</c:v>
                </c:pt>
                <c:pt idx="90">
                  <c:v>1.829999613107903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B386-47A4-9C12-9037D0719878}"/>
            </c:ext>
          </c:extLst>
        </c:ser>
        <c:ser>
          <c:idx val="13"/>
          <c:order val="13"/>
          <c:tx>
            <c:strRef>
              <c:f>Psychrometrics!$O$5</c:f>
              <c:strCache>
                <c:ptCount val="1"/>
                <c:pt idx="0">
                  <c:v>H = 70 KJ/kg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45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B386-47A4-9C12-9037D07198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Psychrometrics!$O$6:$O$96</c:f>
              <c:numCache>
                <c:formatCode>0.0000</c:formatCode>
                <c:ptCount val="91"/>
                <c:pt idx="45">
                  <c:v>18.626737715555379</c:v>
                </c:pt>
                <c:pt idx="46">
                  <c:v>18.422190598243557</c:v>
                </c:pt>
                <c:pt idx="47">
                  <c:v>18.217792990163908</c:v>
                </c:pt>
                <c:pt idx="48">
                  <c:v>18.013544727455574</c:v>
                </c:pt>
                <c:pt idx="49">
                  <c:v>17.809445646497053</c:v>
                </c:pt>
                <c:pt idx="50">
                  <c:v>17.605495583905789</c:v>
                </c:pt>
                <c:pt idx="51">
                  <c:v>17.401694376537712</c:v>
                </c:pt>
                <c:pt idx="52">
                  <c:v>17.198041861486804</c:v>
                </c:pt>
                <c:pt idx="53">
                  <c:v>16.994537876084681</c:v>
                </c:pt>
                <c:pt idx="54">
                  <c:v>16.791182257900143</c:v>
                </c:pt>
                <c:pt idx="55">
                  <c:v>16.587974844738749</c:v>
                </c:pt>
                <c:pt idx="56">
                  <c:v>16.384915474642394</c:v>
                </c:pt>
                <c:pt idx="57">
                  <c:v>16.182003985888858</c:v>
                </c:pt>
                <c:pt idx="58">
                  <c:v>15.979240216991396</c:v>
                </c:pt>
                <c:pt idx="59">
                  <c:v>15.776624006698308</c:v>
                </c:pt>
                <c:pt idx="60">
                  <c:v>15.574155193992489</c:v>
                </c:pt>
                <c:pt idx="61">
                  <c:v>15.371833618091042</c:v>
                </c:pt>
                <c:pt idx="62">
                  <c:v>15.169659118444812</c:v>
                </c:pt>
                <c:pt idx="63">
                  <c:v>14.967631534737984</c:v>
                </c:pt>
                <c:pt idx="64">
                  <c:v>14.765750706887664</c:v>
                </c:pt>
                <c:pt idx="65">
                  <c:v>14.564016475043434</c:v>
                </c:pt>
                <c:pt idx="66">
                  <c:v>14.362428679586946</c:v>
                </c:pt>
                <c:pt idx="67">
                  <c:v>14.160987161131505</c:v>
                </c:pt>
                <c:pt idx="68">
                  <c:v>13.959691760521636</c:v>
                </c:pt>
                <c:pt idx="69">
                  <c:v>13.758542318832669</c:v>
                </c:pt>
                <c:pt idx="70">
                  <c:v>13.55753867737033</c:v>
                </c:pt>
                <c:pt idx="71">
                  <c:v>13.356680677670303</c:v>
                </c:pt>
                <c:pt idx="72">
                  <c:v>13.155968161497842</c:v>
                </c:pt>
                <c:pt idx="73">
                  <c:v>12.955400970847332</c:v>
                </c:pt>
                <c:pt idx="74">
                  <c:v>12.754978947941877</c:v>
                </c:pt>
                <c:pt idx="75">
                  <c:v>12.554701935232908</c:v>
                </c:pt>
                <c:pt idx="76">
                  <c:v>12.354569775399739</c:v>
                </c:pt>
                <c:pt idx="77">
                  <c:v>12.154582311349174</c:v>
                </c:pt>
                <c:pt idx="78">
                  <c:v>11.954739386215097</c:v>
                </c:pt>
                <c:pt idx="79">
                  <c:v>11.755040843358051</c:v>
                </c:pt>
                <c:pt idx="80">
                  <c:v>11.555486526364836</c:v>
                </c:pt>
                <c:pt idx="81">
                  <c:v>11.356076279048102</c:v>
                </c:pt>
                <c:pt idx="82">
                  <c:v>11.156809945445938</c:v>
                </c:pt>
                <c:pt idx="83">
                  <c:v>10.957687369821462</c:v>
                </c:pt>
                <c:pt idx="84">
                  <c:v>10.758708396662428</c:v>
                </c:pt>
                <c:pt idx="85">
                  <c:v>10.559872870680799</c:v>
                </c:pt>
                <c:pt idx="86">
                  <c:v>10.361180636812373</c:v>
                </c:pt>
                <c:pt idx="87">
                  <c:v>10.162631540216351</c:v>
                </c:pt>
                <c:pt idx="88">
                  <c:v>9.9642254262749521</c:v>
                </c:pt>
                <c:pt idx="89">
                  <c:v>9.7659621405930093</c:v>
                </c:pt>
                <c:pt idx="90">
                  <c:v>9.5678415289975618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B386-47A4-9C12-9037D0719878}"/>
            </c:ext>
          </c:extLst>
        </c:ser>
        <c:ser>
          <c:idx val="14"/>
          <c:order val="14"/>
          <c:tx>
            <c:strRef>
              <c:f>Psychrometrics!$P$5</c:f>
              <c:strCache>
                <c:ptCount val="1"/>
                <c:pt idx="0">
                  <c:v>H = 90 KJ/kg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55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B386-47A4-9C12-9037D07198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Psychrometrics!$P$6:$P$96</c:f>
              <c:numCache>
                <c:formatCode>0.0000</c:formatCode>
                <c:ptCount val="91"/>
                <c:pt idx="55">
                  <c:v>24.424504829261604</c:v>
                </c:pt>
                <c:pt idx="56">
                  <c:v>24.218590878468362</c:v>
                </c:pt>
                <c:pt idx="57">
                  <c:v>24.012826887913516</c:v>
                </c:pt>
                <c:pt idx="58">
                  <c:v>23.807212693840167</c:v>
                </c:pt>
                <c:pt idx="59">
                  <c:v>23.601748132729757</c:v>
                </c:pt>
                <c:pt idx="60">
                  <c:v>23.396433041301627</c:v>
                </c:pt>
                <c:pt idx="61">
                  <c:v>23.19126725651261</c:v>
                </c:pt>
                <c:pt idx="62">
                  <c:v>22.986250615556582</c:v>
                </c:pt>
                <c:pt idx="63">
                  <c:v>22.781382955864022</c:v>
                </c:pt>
                <c:pt idx="64">
                  <c:v>22.576664115101618</c:v>
                </c:pt>
                <c:pt idx="65">
                  <c:v>22.372093931171797</c:v>
                </c:pt>
                <c:pt idx="66">
                  <c:v>22.167672242212316</c:v>
                </c:pt>
                <c:pt idx="67">
                  <c:v>21.963398886595847</c:v>
                </c:pt>
                <c:pt idx="68">
                  <c:v>21.759273702929526</c:v>
                </c:pt>
                <c:pt idx="69">
                  <c:v>21.555296530054537</c:v>
                </c:pt>
                <c:pt idx="70">
                  <c:v>21.351467207045712</c:v>
                </c:pt>
                <c:pt idx="71">
                  <c:v>21.147785573211063</c:v>
                </c:pt>
                <c:pt idx="72">
                  <c:v>20.944251468091402</c:v>
                </c:pt>
                <c:pt idx="73">
                  <c:v>20.74086473145989</c:v>
                </c:pt>
                <c:pt idx="74">
                  <c:v>20.537625203321632</c:v>
                </c:pt>
                <c:pt idx="75">
                  <c:v>20.334532723913256</c:v>
                </c:pt>
                <c:pt idx="76">
                  <c:v>20.131587133702482</c:v>
                </c:pt>
                <c:pt idx="77">
                  <c:v>19.928788273387724</c:v>
                </c:pt>
                <c:pt idx="78">
                  <c:v>19.726135983897667</c:v>
                </c:pt>
                <c:pt idx="79">
                  <c:v>19.523630106390829</c:v>
                </c:pt>
                <c:pt idx="80">
                  <c:v>19.32127048225518</c:v>
                </c:pt>
                <c:pt idx="81">
                  <c:v>19.119056953107716</c:v>
                </c:pt>
                <c:pt idx="82">
                  <c:v>18.91698936079402</c:v>
                </c:pt>
                <c:pt idx="83">
                  <c:v>18.715067547387893</c:v>
                </c:pt>
                <c:pt idx="84">
                  <c:v>18.513291355190916</c:v>
                </c:pt>
                <c:pt idx="85">
                  <c:v>18.311660626732039</c:v>
                </c:pt>
                <c:pt idx="86">
                  <c:v>18.110175204767181</c:v>
                </c:pt>
                <c:pt idx="87">
                  <c:v>17.908834932278815</c:v>
                </c:pt>
                <c:pt idx="88">
                  <c:v>17.707639652475567</c:v>
                </c:pt>
                <c:pt idx="89">
                  <c:v>17.506589208791802</c:v>
                </c:pt>
                <c:pt idx="90">
                  <c:v>17.305683444887219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386-47A4-9C12-9037D0719878}"/>
            </c:ext>
          </c:extLst>
        </c:ser>
        <c:ser>
          <c:idx val="15"/>
          <c:order val="15"/>
          <c:tx>
            <c:strRef>
              <c:f>Psychrometrics!$Q$5</c:f>
              <c:strCache>
                <c:ptCount val="1"/>
                <c:pt idx="0">
                  <c:v>H = 110 KJ/kg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63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B386-47A4-9C12-9037D07198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Psychrometrics!$Q$6:$Q$96</c:f>
              <c:numCache>
                <c:formatCode>0.0000</c:formatCode>
                <c:ptCount val="91"/>
                <c:pt idx="63">
                  <c:v>30.595134376990067</c:v>
                </c:pt>
                <c:pt idx="64">
                  <c:v>30.387577523315574</c:v>
                </c:pt>
                <c:pt idx="65">
                  <c:v>30.180171387300167</c:v>
                </c:pt>
                <c:pt idx="66">
                  <c:v>29.972915804837687</c:v>
                </c:pt>
                <c:pt idx="67">
                  <c:v>29.765810612060189</c:v>
                </c:pt>
                <c:pt idx="68">
                  <c:v>29.55885564533741</c:v>
                </c:pt>
                <c:pt idx="69">
                  <c:v>29.352050741276411</c:v>
                </c:pt>
                <c:pt idx="70">
                  <c:v>29.145395736721092</c:v>
                </c:pt>
                <c:pt idx="71">
                  <c:v>28.938890468751829</c:v>
                </c:pt>
                <c:pt idx="72">
                  <c:v>28.732534774684957</c:v>
                </c:pt>
                <c:pt idx="73">
                  <c:v>28.526328492072455</c:v>
                </c:pt>
                <c:pt idx="74">
                  <c:v>28.320271458701384</c:v>
                </c:pt>
                <c:pt idx="75">
                  <c:v>28.114363512593602</c:v>
                </c:pt>
                <c:pt idx="76">
                  <c:v>27.908604492005225</c:v>
                </c:pt>
                <c:pt idx="77">
                  <c:v>27.702994235426281</c:v>
                </c:pt>
                <c:pt idx="78">
                  <c:v>27.497532581580234</c:v>
                </c:pt>
                <c:pt idx="79">
                  <c:v>27.292219369423613</c:v>
                </c:pt>
                <c:pt idx="80">
                  <c:v>27.087054438145525</c:v>
                </c:pt>
                <c:pt idx="81">
                  <c:v>26.882037627167328</c:v>
                </c:pt>
                <c:pt idx="82">
                  <c:v>26.6771687761421</c:v>
                </c:pt>
                <c:pt idx="83">
                  <c:v>26.472447724954328</c:v>
                </c:pt>
                <c:pt idx="84">
                  <c:v>26.267874313719403</c:v>
                </c:pt>
                <c:pt idx="85">
                  <c:v>26.063448382783282</c:v>
                </c:pt>
                <c:pt idx="86">
                  <c:v>25.859169772721984</c:v>
                </c:pt>
                <c:pt idx="87">
                  <c:v>25.655038324341284</c:v>
                </c:pt>
                <c:pt idx="88">
                  <c:v>25.451053878676181</c:v>
                </c:pt>
                <c:pt idx="89">
                  <c:v>25.247216276990599</c:v>
                </c:pt>
                <c:pt idx="90">
                  <c:v>25.043525360776879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B386-47A4-9C12-9037D0719878}"/>
            </c:ext>
          </c:extLst>
        </c:ser>
        <c:ser>
          <c:idx val="16"/>
          <c:order val="16"/>
          <c:tx>
            <c:strRef>
              <c:f>Psychrometrics!$R$5</c:f>
              <c:strCache>
                <c:ptCount val="1"/>
                <c:pt idx="0">
                  <c:v>Twb = 5 KJ/kg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7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PT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B386-47A4-9C12-9037D07198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Psychrometrics!$R$6:$R$96</c:f>
              <c:numCache>
                <c:formatCode>0.0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5.4019426106203641</c:v>
                </c:pt>
                <c:pt idx="11">
                  <c:v>5.1979415639079702</c:v>
                </c:pt>
                <c:pt idx="12">
                  <c:v>4.9940928282816186</c:v>
                </c:pt>
                <c:pt idx="13">
                  <c:v>4.7903962332274075</c:v>
                </c:pt>
                <c:pt idx="14">
                  <c:v>4.5868516084858619</c:v>
                </c:pt>
                <c:pt idx="15">
                  <c:v>4.3834587840514585</c:v>
                </c:pt>
                <c:pt idx="16">
                  <c:v>4.1802175901721554</c:v>
                </c:pt>
                <c:pt idx="17">
                  <c:v>3.9771278573489179</c:v>
                </c:pt>
                <c:pt idx="18">
                  <c:v>3.7741894163352514</c:v>
                </c:pt>
                <c:pt idx="19">
                  <c:v>3.5714020981367227</c:v>
                </c:pt>
                <c:pt idx="20">
                  <c:v>3.3687657340105011</c:v>
                </c:pt>
                <c:pt idx="21">
                  <c:v>3.166280155464881</c:v>
                </c:pt>
                <c:pt idx="22">
                  <c:v>2.9639451942588244</c:v>
                </c:pt>
                <c:pt idx="23">
                  <c:v>2.7617606824014844</c:v>
                </c:pt>
                <c:pt idx="24">
                  <c:v>2.5597264521517498</c:v>
                </c:pt>
                <c:pt idx="25">
                  <c:v>2.3578423360177756</c:v>
                </c:pt>
                <c:pt idx="26">
                  <c:v>2.1561081667565207</c:v>
                </c:pt>
                <c:pt idx="27">
                  <c:v>1.9545237773732891</c:v>
                </c:pt>
                <c:pt idx="28">
                  <c:v>1.7530890011212665</c:v>
                </c:pt>
                <c:pt idx="29">
                  <c:v>1.5518036715010599</c:v>
                </c:pt>
                <c:pt idx="30">
                  <c:v>1.350667622260241</c:v>
                </c:pt>
                <c:pt idx="31">
                  <c:v>1.1496806873928882</c:v>
                </c:pt>
                <c:pt idx="32">
                  <c:v>0.9488427011391275</c:v>
                </c:pt>
                <c:pt idx="33">
                  <c:v>0.74815349798468056</c:v>
                </c:pt>
                <c:pt idx="34">
                  <c:v>0.54761291266040724</c:v>
                </c:pt>
                <c:pt idx="35">
                  <c:v>0.3472207801418512</c:v>
                </c:pt>
                <c:pt idx="36">
                  <c:v>0.14697693564879083</c:v>
                </c:pt>
                <c:pt idx="37">
                  <c:v>9.9999999999999991E-5</c:v>
                </c:pt>
                <c:pt idx="38">
                  <c:v>9.9999999999999991E-5</c:v>
                </c:pt>
                <c:pt idx="39">
                  <c:v>9.9999999999999991E-5</c:v>
                </c:pt>
                <c:pt idx="40">
                  <c:v>9.9999999999999991E-5</c:v>
                </c:pt>
                <c:pt idx="41">
                  <c:v>9.9999999999999991E-5</c:v>
                </c:pt>
                <c:pt idx="42">
                  <c:v>9.9999999999999991E-5</c:v>
                </c:pt>
                <c:pt idx="43">
                  <c:v>9.9999999999999991E-5</c:v>
                </c:pt>
                <c:pt idx="44">
                  <c:v>9.9999999999999991E-5</c:v>
                </c:pt>
                <c:pt idx="45">
                  <c:v>9.9999999999999991E-5</c:v>
                </c:pt>
                <c:pt idx="46">
                  <c:v>9.9999999999999991E-5</c:v>
                </c:pt>
                <c:pt idx="47">
                  <c:v>9.9999999999999991E-5</c:v>
                </c:pt>
                <c:pt idx="48">
                  <c:v>9.9999999999999991E-5</c:v>
                </c:pt>
                <c:pt idx="49">
                  <c:v>9.9999999999999991E-5</c:v>
                </c:pt>
                <c:pt idx="50">
                  <c:v>9.9999999999999991E-5</c:v>
                </c:pt>
                <c:pt idx="51">
                  <c:v>9.9999999999999991E-5</c:v>
                </c:pt>
                <c:pt idx="52">
                  <c:v>9.9999999999999991E-5</c:v>
                </c:pt>
                <c:pt idx="53">
                  <c:v>9.9999999999999991E-5</c:v>
                </c:pt>
                <c:pt idx="54">
                  <c:v>9.9999999999999991E-5</c:v>
                </c:pt>
                <c:pt idx="55">
                  <c:v>9.9999999999999991E-5</c:v>
                </c:pt>
                <c:pt idx="56">
                  <c:v>9.9999999999999991E-5</c:v>
                </c:pt>
                <c:pt idx="57">
                  <c:v>9.9999999999999991E-5</c:v>
                </c:pt>
                <c:pt idx="58">
                  <c:v>9.9999999999999991E-5</c:v>
                </c:pt>
                <c:pt idx="59">
                  <c:v>9.9999999999999991E-5</c:v>
                </c:pt>
                <c:pt idx="60">
                  <c:v>9.9999999999999991E-5</c:v>
                </c:pt>
                <c:pt idx="61">
                  <c:v>9.9999999999999991E-5</c:v>
                </c:pt>
                <c:pt idx="62">
                  <c:v>9.9999999999999991E-5</c:v>
                </c:pt>
                <c:pt idx="63">
                  <c:v>9.9999999999999991E-5</c:v>
                </c:pt>
                <c:pt idx="64">
                  <c:v>9.9999999999999991E-5</c:v>
                </c:pt>
                <c:pt idx="65">
                  <c:v>9.9999999999999991E-5</c:v>
                </c:pt>
                <c:pt idx="66">
                  <c:v>9.9999999999999991E-5</c:v>
                </c:pt>
                <c:pt idx="67">
                  <c:v>9.9999999999999991E-5</c:v>
                </c:pt>
                <c:pt idx="68">
                  <c:v>9.9999999999999991E-5</c:v>
                </c:pt>
                <c:pt idx="69">
                  <c:v>9.9999999999999991E-5</c:v>
                </c:pt>
                <c:pt idx="70">
                  <c:v>9.9999999999999991E-5</c:v>
                </c:pt>
                <c:pt idx="71">
                  <c:v>9.9999999999999991E-5</c:v>
                </c:pt>
                <c:pt idx="72">
                  <c:v>9.9999999999999991E-5</c:v>
                </c:pt>
                <c:pt idx="73">
                  <c:v>9.9999999999999991E-5</c:v>
                </c:pt>
                <c:pt idx="74">
                  <c:v>9.9999999999999991E-5</c:v>
                </c:pt>
                <c:pt idx="75">
                  <c:v>9.9999999999999991E-5</c:v>
                </c:pt>
                <c:pt idx="76">
                  <c:v>9.9999999999999991E-5</c:v>
                </c:pt>
                <c:pt idx="77">
                  <c:v>9.9999999999999991E-5</c:v>
                </c:pt>
                <c:pt idx="78">
                  <c:v>9.9999999999999991E-5</c:v>
                </c:pt>
                <c:pt idx="79">
                  <c:v>9.9999999999999991E-5</c:v>
                </c:pt>
                <c:pt idx="80">
                  <c:v>9.9999999999999991E-5</c:v>
                </c:pt>
                <c:pt idx="81">
                  <c:v>9.9999999999999991E-5</c:v>
                </c:pt>
                <c:pt idx="82">
                  <c:v>9.9999999999999991E-5</c:v>
                </c:pt>
                <c:pt idx="83">
                  <c:v>9.9999999999999991E-5</c:v>
                </c:pt>
                <c:pt idx="84">
                  <c:v>9.9999999999999991E-5</c:v>
                </c:pt>
                <c:pt idx="85">
                  <c:v>9.9999999999999991E-5</c:v>
                </c:pt>
                <c:pt idx="86">
                  <c:v>9.9999999999999991E-5</c:v>
                </c:pt>
                <c:pt idx="87">
                  <c:v>9.9999999999999991E-5</c:v>
                </c:pt>
                <c:pt idx="88">
                  <c:v>9.9999999999999991E-5</c:v>
                </c:pt>
                <c:pt idx="89">
                  <c:v>9.9999999999999991E-5</c:v>
                </c:pt>
                <c:pt idx="90">
                  <c:v>9.9999999999999991E-5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386-47A4-9C12-9037D0719878}"/>
            </c:ext>
          </c:extLst>
        </c:ser>
        <c:ser>
          <c:idx val="17"/>
          <c:order val="17"/>
          <c:tx>
            <c:strRef>
              <c:f>Psychrometrics!$S$5</c:f>
              <c:strCache>
                <c:ptCount val="1"/>
                <c:pt idx="0">
                  <c:v>Twb = 10 KJ/kg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B386-47A4-9C12-9037D07198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Psychrometrics!$S$6:$S$96</c:f>
              <c:numCache>
                <c:formatCode>0.0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7.6300537032615861</c:v>
                </c:pt>
                <c:pt idx="21">
                  <c:v>7.424259487031093</c:v>
                </c:pt>
                <c:pt idx="22">
                  <c:v>7.2186196413612524</c:v>
                </c:pt>
                <c:pt idx="23">
                  <c:v>7.0131339926222864</c:v>
                </c:pt>
                <c:pt idx="24">
                  <c:v>6.8078023674447143</c:v>
                </c:pt>
                <c:pt idx="25">
                  <c:v>6.6026245927188567</c:v>
                </c:pt>
                <c:pt idx="26">
                  <c:v>6.3976004955943502</c:v>
                </c:pt>
                <c:pt idx="27">
                  <c:v>6.1927299034796661</c:v>
                </c:pt>
                <c:pt idx="28">
                  <c:v>5.988012644041623</c:v>
                </c:pt>
                <c:pt idx="29">
                  <c:v>5.7834485452049034</c:v>
                </c:pt>
                <c:pt idx="30">
                  <c:v>5.5790374351515695</c:v>
                </c:pt>
                <c:pt idx="31">
                  <c:v>5.3747791423205911</c:v>
                </c:pt>
                <c:pt idx="32">
                  <c:v>5.1706734954073532</c:v>
                </c:pt>
                <c:pt idx="33">
                  <c:v>4.9667203233631865</c:v>
                </c:pt>
                <c:pt idx="34">
                  <c:v>4.7629194553948837</c:v>
                </c:pt>
                <c:pt idx="35">
                  <c:v>4.5592707209642294</c:v>
                </c:pt>
                <c:pt idx="36">
                  <c:v>4.3557739497875172</c:v>
                </c:pt>
                <c:pt idx="37">
                  <c:v>4.1524289718350795</c:v>
                </c:pt>
                <c:pt idx="38">
                  <c:v>3.9492356173308103</c:v>
                </c:pt>
                <c:pt idx="39">
                  <c:v>3.7461937167517005</c:v>
                </c:pt>
                <c:pt idx="40">
                  <c:v>3.5433031008273557</c:v>
                </c:pt>
                <c:pt idx="41">
                  <c:v>3.3405636005395336</c:v>
                </c:pt>
                <c:pt idx="42">
                  <c:v>3.1379750471216719</c:v>
                </c:pt>
                <c:pt idx="43">
                  <c:v>2.9355372720584207</c:v>
                </c:pt>
                <c:pt idx="44">
                  <c:v>2.7332501070851745</c:v>
                </c:pt>
                <c:pt idx="45">
                  <c:v>2.5311133841876066</c:v>
                </c:pt>
                <c:pt idx="46">
                  <c:v>2.3291269356012028</c:v>
                </c:pt>
                <c:pt idx="47">
                  <c:v>2.1272905938108004</c:v>
                </c:pt>
                <c:pt idx="48">
                  <c:v>1.9256041915501207</c:v>
                </c:pt>
                <c:pt idx="49">
                  <c:v>1.7240675618013106</c:v>
                </c:pt>
                <c:pt idx="50">
                  <c:v>1.5226805377944801</c:v>
                </c:pt>
                <c:pt idx="51">
                  <c:v>1.3214429530072413</c:v>
                </c:pt>
                <c:pt idx="52">
                  <c:v>1.1203546411642515</c:v>
                </c:pt>
                <c:pt idx="53">
                  <c:v>0.91941543623675392</c:v>
                </c:pt>
                <c:pt idx="54">
                  <c:v>0.71862517244212099</c:v>
                </c:pt>
                <c:pt idx="55">
                  <c:v>0.51798368424339836</c:v>
                </c:pt>
                <c:pt idx="56">
                  <c:v>0.31749080634885046</c:v>
                </c:pt>
                <c:pt idx="57">
                  <c:v>0.1171463737115061</c:v>
                </c:pt>
                <c:pt idx="58">
                  <c:v>9.9999999999999991E-5</c:v>
                </c:pt>
                <c:pt idx="59">
                  <c:v>9.9999999999999991E-5</c:v>
                </c:pt>
                <c:pt idx="60">
                  <c:v>9.9999999999999991E-5</c:v>
                </c:pt>
                <c:pt idx="61">
                  <c:v>9.9999999999999991E-5</c:v>
                </c:pt>
                <c:pt idx="62">
                  <c:v>9.9999999999999991E-5</c:v>
                </c:pt>
                <c:pt idx="63">
                  <c:v>9.9999999999999991E-5</c:v>
                </c:pt>
                <c:pt idx="64">
                  <c:v>9.9999999999999991E-5</c:v>
                </c:pt>
                <c:pt idx="65">
                  <c:v>9.9999999999999991E-5</c:v>
                </c:pt>
                <c:pt idx="66">
                  <c:v>9.9999999999999991E-5</c:v>
                </c:pt>
                <c:pt idx="67">
                  <c:v>9.9999999999999991E-5</c:v>
                </c:pt>
                <c:pt idx="68">
                  <c:v>9.9999999999999991E-5</c:v>
                </c:pt>
                <c:pt idx="69">
                  <c:v>9.9999999999999991E-5</c:v>
                </c:pt>
                <c:pt idx="70">
                  <c:v>9.9999999999999991E-5</c:v>
                </c:pt>
                <c:pt idx="71">
                  <c:v>9.9999999999999991E-5</c:v>
                </c:pt>
                <c:pt idx="72">
                  <c:v>9.9999999999999991E-5</c:v>
                </c:pt>
                <c:pt idx="73">
                  <c:v>9.9999999999999991E-5</c:v>
                </c:pt>
                <c:pt idx="74">
                  <c:v>9.9999999999999991E-5</c:v>
                </c:pt>
                <c:pt idx="75">
                  <c:v>9.9999999999999991E-5</c:v>
                </c:pt>
                <c:pt idx="76">
                  <c:v>9.9999999999999991E-5</c:v>
                </c:pt>
                <c:pt idx="77">
                  <c:v>9.9999999999999991E-5</c:v>
                </c:pt>
                <c:pt idx="78">
                  <c:v>9.9999999999999991E-5</c:v>
                </c:pt>
                <c:pt idx="79">
                  <c:v>9.9999999999999991E-5</c:v>
                </c:pt>
                <c:pt idx="80">
                  <c:v>9.9999999999999991E-5</c:v>
                </c:pt>
                <c:pt idx="81">
                  <c:v>9.9999999999999991E-5</c:v>
                </c:pt>
                <c:pt idx="82">
                  <c:v>9.9999999999999991E-5</c:v>
                </c:pt>
                <c:pt idx="83">
                  <c:v>9.9999999999999991E-5</c:v>
                </c:pt>
                <c:pt idx="84">
                  <c:v>9.9999999999999991E-5</c:v>
                </c:pt>
                <c:pt idx="85">
                  <c:v>9.9999999999999991E-5</c:v>
                </c:pt>
                <c:pt idx="86">
                  <c:v>9.9999999999999991E-5</c:v>
                </c:pt>
                <c:pt idx="87">
                  <c:v>9.9999999999999991E-5</c:v>
                </c:pt>
                <c:pt idx="88">
                  <c:v>9.9999999999999991E-5</c:v>
                </c:pt>
                <c:pt idx="89">
                  <c:v>9.9999999999999991E-5</c:v>
                </c:pt>
                <c:pt idx="90">
                  <c:v>9.9999999999999991E-5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386-47A4-9C12-9037D0719878}"/>
            </c:ext>
          </c:extLst>
        </c:ser>
        <c:ser>
          <c:idx val="18"/>
          <c:order val="18"/>
          <c:tx>
            <c:strRef>
              <c:f>Psychrometrics!$T$5</c:f>
              <c:strCache>
                <c:ptCount val="1"/>
                <c:pt idx="0">
                  <c:v>Twb = 15 KJ/kg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30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B386-47A4-9C12-9037D07198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Psychrometrics!$T$6:$T$96</c:f>
              <c:numCache>
                <c:formatCode>0.0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10.647455293969347</c:v>
                </c:pt>
                <c:pt idx="31">
                  <c:v>10.439553462858628</c:v>
                </c:pt>
                <c:pt idx="32">
                  <c:v>10.231808318176778</c:v>
                </c:pt>
                <c:pt idx="33">
                  <c:v>10.024219682859066</c:v>
                </c:pt>
                <c:pt idx="34">
                  <c:v>9.816787380107435</c:v>
                </c:pt>
                <c:pt idx="35">
                  <c:v>9.6095112333900268</c:v>
                </c:pt>
                <c:pt idx="36">
                  <c:v>9.4023910664406714</c:v>
                </c:pt>
                <c:pt idx="37">
                  <c:v>9.1954267032583843</c:v>
                </c:pt>
                <c:pt idx="38">
                  <c:v>8.9886179681068672</c:v>
                </c:pt>
                <c:pt idx="39">
                  <c:v>8.7819646855140263</c:v>
                </c:pt>
                <c:pt idx="40">
                  <c:v>8.5754666802714485</c:v>
                </c:pt>
                <c:pt idx="41">
                  <c:v>8.3691237774339324</c:v>
                </c:pt>
                <c:pt idx="42">
                  <c:v>8.1629358023189837</c:v>
                </c:pt>
                <c:pt idx="43">
                  <c:v>7.9569025805063154</c:v>
                </c:pt>
                <c:pt idx="44">
                  <c:v>7.751023937837366</c:v>
                </c:pt>
                <c:pt idx="45">
                  <c:v>7.5452997004148088</c:v>
                </c:pt>
                <c:pt idx="46">
                  <c:v>7.3397296946020525</c:v>
                </c:pt>
                <c:pt idx="47">
                  <c:v>7.1343137470227678</c:v>
                </c:pt>
                <c:pt idx="48">
                  <c:v>6.9290516845603847</c:v>
                </c:pt>
                <c:pt idx="49">
                  <c:v>6.7239433343576112</c:v>
                </c:pt>
                <c:pt idx="50">
                  <c:v>6.5189885238159571</c:v>
                </c:pt>
                <c:pt idx="51">
                  <c:v>6.3141870805952376</c:v>
                </c:pt>
                <c:pt idx="52">
                  <c:v>6.1095388326130964</c:v>
                </c:pt>
                <c:pt idx="53">
                  <c:v>5.9050436080445214</c:v>
                </c:pt>
                <c:pt idx="54">
                  <c:v>5.7007012353213673</c:v>
                </c:pt>
                <c:pt idx="55">
                  <c:v>5.4965115431318683</c:v>
                </c:pt>
                <c:pt idx="56">
                  <c:v>5.2924743604201714</c:v>
                </c:pt>
                <c:pt idx="57">
                  <c:v>5.0885895163858459</c:v>
                </c:pt>
                <c:pt idx="58">
                  <c:v>4.8848568404834172</c:v>
                </c:pt>
                <c:pt idx="59">
                  <c:v>4.6812761624218835</c:v>
                </c:pt>
                <c:pt idx="60">
                  <c:v>4.4778473121642444</c:v>
                </c:pt>
                <c:pt idx="61">
                  <c:v>4.2745701199270307</c:v>
                </c:pt>
                <c:pt idx="62">
                  <c:v>4.071444416179828</c:v>
                </c:pt>
                <c:pt idx="63">
                  <c:v>3.868470031644804</c:v>
                </c:pt>
                <c:pt idx="64">
                  <c:v>3.6656467972962434</c:v>
                </c:pt>
                <c:pt idx="65">
                  <c:v>3.4629745443600757</c:v>
                </c:pt>
                <c:pt idx="66">
                  <c:v>3.260453104313406</c:v>
                </c:pt>
                <c:pt idx="67">
                  <c:v>3.058082308884051</c:v>
                </c:pt>
                <c:pt idx="68">
                  <c:v>2.8558619900500699</c:v>
                </c:pt>
                <c:pt idx="69">
                  <c:v>2.6537919800393008</c:v>
                </c:pt>
                <c:pt idx="70">
                  <c:v>2.4518721113288993</c:v>
                </c:pt>
                <c:pt idx="71">
                  <c:v>2.2501022166448688</c:v>
                </c:pt>
                <c:pt idx="72">
                  <c:v>2.0484821289616058</c:v>
                </c:pt>
                <c:pt idx="73">
                  <c:v>1.847011681501435</c:v>
                </c:pt>
                <c:pt idx="74">
                  <c:v>1.6456907077341498</c:v>
                </c:pt>
                <c:pt idx="75">
                  <c:v>1.4445190413765554</c:v>
                </c:pt>
                <c:pt idx="76">
                  <c:v>1.2434965163920084</c:v>
                </c:pt>
                <c:pt idx="77">
                  <c:v>1.0426229669899616</c:v>
                </c:pt>
                <c:pt idx="78">
                  <c:v>0.84189822762550992</c:v>
                </c:pt>
                <c:pt idx="79">
                  <c:v>0.64132213299892871</c:v>
                </c:pt>
                <c:pt idx="80">
                  <c:v>0.440894518055229</c:v>
                </c:pt>
                <c:pt idx="81">
                  <c:v>0.24061521798369978</c:v>
                </c:pt>
                <c:pt idx="82">
                  <c:v>4.0484068217456821E-2</c:v>
                </c:pt>
                <c:pt idx="83">
                  <c:v>9.9999999999999991E-5</c:v>
                </c:pt>
                <c:pt idx="84">
                  <c:v>9.9999999999999991E-5</c:v>
                </c:pt>
                <c:pt idx="85">
                  <c:v>9.9999999999999991E-5</c:v>
                </c:pt>
                <c:pt idx="86">
                  <c:v>9.9999999999999991E-5</c:v>
                </c:pt>
                <c:pt idx="87">
                  <c:v>9.9999999999999991E-5</c:v>
                </c:pt>
                <c:pt idx="88">
                  <c:v>9.9999999999999991E-5</c:v>
                </c:pt>
                <c:pt idx="89">
                  <c:v>9.9999999999999991E-5</c:v>
                </c:pt>
                <c:pt idx="90">
                  <c:v>9.9999999999999991E-5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386-47A4-9C12-9037D0719878}"/>
            </c:ext>
          </c:extLst>
        </c:ser>
        <c:ser>
          <c:idx val="19"/>
          <c:order val="19"/>
          <c:tx>
            <c:strRef>
              <c:f>Psychrometrics!$U$5</c:f>
              <c:strCache>
                <c:ptCount val="1"/>
                <c:pt idx="0">
                  <c:v>Twb = 20 KJ/kg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40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B386-47A4-9C12-9037D07198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Psychrometrics!$U$6:$U$96</c:f>
              <c:numCache>
                <c:formatCode>0.0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14.69505164977836</c:v>
                </c:pt>
                <c:pt idx="41">
                  <c:v>14.484632046520943</c:v>
                </c:pt>
                <c:pt idx="42">
                  <c:v>14.274371778071435</c:v>
                </c:pt>
                <c:pt idx="43">
                  <c:v>14.06427066352008</c:v>
                </c:pt>
                <c:pt idx="44">
                  <c:v>13.854328522230896</c:v>
                </c:pt>
                <c:pt idx="45">
                  <c:v>13.64454517384115</c:v>
                </c:pt>
                <c:pt idx="46">
                  <c:v>13.43492043826085</c:v>
                </c:pt>
                <c:pt idx="47">
                  <c:v>13.225454135672225</c:v>
                </c:pt>
                <c:pt idx="48">
                  <c:v>13.016146086529208</c:v>
                </c:pt>
                <c:pt idx="49">
                  <c:v>12.806996111556929</c:v>
                </c:pt>
                <c:pt idx="50">
                  <c:v>12.598004031751206</c:v>
                </c:pt>
                <c:pt idx="51">
                  <c:v>12.38916966837802</c:v>
                </c:pt>
                <c:pt idx="52">
                  <c:v>12.180492842973015</c:v>
                </c:pt>
                <c:pt idx="53">
                  <c:v>11.971973377341</c:v>
                </c:pt>
                <c:pt idx="54">
                  <c:v>11.763611093555415</c:v>
                </c:pt>
                <c:pt idx="55">
                  <c:v>11.555405813957854</c:v>
                </c:pt>
                <c:pt idx="56">
                  <c:v>11.347357361157542</c:v>
                </c:pt>
                <c:pt idx="57">
                  <c:v>11.139465558030832</c:v>
                </c:pt>
                <c:pt idx="58">
                  <c:v>10.931730227720715</c:v>
                </c:pt>
                <c:pt idx="59">
                  <c:v>10.724151193636303</c:v>
                </c:pt>
                <c:pt idx="60">
                  <c:v>10.516728279452336</c:v>
                </c:pt>
                <c:pt idx="61">
                  <c:v>10.30946130910869</c:v>
                </c:pt>
                <c:pt idx="62">
                  <c:v>10.102350106809858</c:v>
                </c:pt>
                <c:pt idx="63">
                  <c:v>9.8953944970244745</c:v>
                </c:pt>
                <c:pt idx="64">
                  <c:v>9.6885943044848144</c:v>
                </c:pt>
                <c:pt idx="65">
                  <c:v>9.4819493541862876</c:v>
                </c:pt>
                <c:pt idx="66">
                  <c:v>9.275459471386954</c:v>
                </c:pt>
                <c:pt idx="67">
                  <c:v>9.0691244816070355</c:v>
                </c:pt>
                <c:pt idx="68">
                  <c:v>8.8629442106284131</c:v>
                </c:pt>
                <c:pt idx="69">
                  <c:v>8.6569184844941418</c:v>
                </c:pt>
                <c:pt idx="70">
                  <c:v>8.4510471295079679</c:v>
                </c:pt>
                <c:pt idx="71">
                  <c:v>8.2453299722338276</c:v>
                </c:pt>
                <c:pt idx="72">
                  <c:v>8.0397668394953747</c:v>
                </c:pt>
                <c:pt idx="73">
                  <c:v>7.8343575583754799</c:v>
                </c:pt>
                <c:pt idx="74">
                  <c:v>7.629101956215754</c:v>
                </c:pt>
                <c:pt idx="75">
                  <c:v>7.4239998606160711</c:v>
                </c:pt>
                <c:pt idx="76">
                  <c:v>7.2190510994340702</c:v>
                </c:pt>
                <c:pt idx="77">
                  <c:v>7.0142555007846816</c:v>
                </c:pt>
                <c:pt idx="78">
                  <c:v>6.8096128930396533</c:v>
                </c:pt>
                <c:pt idx="79">
                  <c:v>6.6051231048270562</c:v>
                </c:pt>
                <c:pt idx="80">
                  <c:v>6.400785965030817</c:v>
                </c:pt>
                <c:pt idx="81">
                  <c:v>6.1966013027902429</c:v>
                </c:pt>
                <c:pt idx="82">
                  <c:v>5.9925689474995334</c:v>
                </c:pt>
                <c:pt idx="83">
                  <c:v>5.7886887288073163</c:v>
                </c:pt>
                <c:pt idx="84">
                  <c:v>5.5849604766161693</c:v>
                </c:pt>
                <c:pt idx="85">
                  <c:v>5.3813840210821438</c:v>
                </c:pt>
                <c:pt idx="86">
                  <c:v>5.1779591926143009</c:v>
                </c:pt>
                <c:pt idx="87">
                  <c:v>4.9746858218742327</c:v>
                </c:pt>
                <c:pt idx="88">
                  <c:v>4.7715637397755968</c:v>
                </c:pt>
                <c:pt idx="89">
                  <c:v>4.568592777483647</c:v>
                </c:pt>
                <c:pt idx="90">
                  <c:v>4.3657727664147616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B386-47A4-9C12-9037D0719878}"/>
            </c:ext>
          </c:extLst>
        </c:ser>
        <c:ser>
          <c:idx val="20"/>
          <c:order val="20"/>
          <c:tx>
            <c:strRef>
              <c:f>Psychrometrics!$V$5</c:f>
              <c:strCache>
                <c:ptCount val="1"/>
                <c:pt idx="0">
                  <c:v>Twb = 25 KJ/kg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50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B386-47A4-9C12-9037D07198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Psychrometrics!$V$6:$V$96</c:f>
              <c:numCache>
                <c:formatCode>0.0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20.081122748349607</c:v>
                </c:pt>
                <c:pt idx="51">
                  <c:v>19.867652041430016</c:v>
                </c:pt>
                <c:pt idx="52">
                  <c:v>19.654343748667873</c:v>
                </c:pt>
                <c:pt idx="53">
                  <c:v>19.441197684780196</c:v>
                </c:pt>
                <c:pt idx="54">
                  <c:v>19.228213664765708</c:v>
                </c:pt>
                <c:pt idx="55">
                  <c:v>19.015391503904326</c:v>
                </c:pt>
                <c:pt idx="56">
                  <c:v>18.802731017756617</c:v>
                </c:pt>
                <c:pt idx="57">
                  <c:v>18.590232022163274</c:v>
                </c:pt>
                <c:pt idx="58">
                  <c:v>18.377894333244569</c:v>
                </c:pt>
                <c:pt idx="59">
                  <c:v>18.16571776739984</c:v>
                </c:pt>
                <c:pt idx="60">
                  <c:v>17.953702141306948</c:v>
                </c:pt>
                <c:pt idx="61">
                  <c:v>17.74184727192176</c:v>
                </c:pt>
                <c:pt idx="62">
                  <c:v>17.530152976477616</c:v>
                </c:pt>
                <c:pt idx="63">
                  <c:v>17.3186190724848</c:v>
                </c:pt>
                <c:pt idx="64">
                  <c:v>17.107245377730024</c:v>
                </c:pt>
                <c:pt idx="65">
                  <c:v>16.896031710275903</c:v>
                </c:pt>
                <c:pt idx="66">
                  <c:v>16.684977888460423</c:v>
                </c:pt>
                <c:pt idx="67">
                  <c:v>16.474083730896439</c:v>
                </c:pt>
                <c:pt idx="68">
                  <c:v>16.263349056471132</c:v>
                </c:pt>
                <c:pt idx="69">
                  <c:v>16.052773684345517</c:v>
                </c:pt>
                <c:pt idx="70">
                  <c:v>15.842357433953902</c:v>
                </c:pt>
                <c:pt idx="71">
                  <c:v>15.632100125003381</c:v>
                </c:pt>
                <c:pt idx="72">
                  <c:v>15.422001577473333</c:v>
                </c:pt>
                <c:pt idx="73">
                  <c:v>15.212061611614875</c:v>
                </c:pt>
                <c:pt idx="74">
                  <c:v>15.002280047950379</c:v>
                </c:pt>
                <c:pt idx="75">
                  <c:v>14.792656707272956</c:v>
                </c:pt>
                <c:pt idx="76">
                  <c:v>14.583191410645933</c:v>
                </c:pt>
                <c:pt idx="77">
                  <c:v>14.373883979402352</c:v>
                </c:pt>
                <c:pt idx="78">
                  <c:v>14.164734235144472</c:v>
                </c:pt>
                <c:pt idx="79">
                  <c:v>13.955741999743235</c:v>
                </c:pt>
                <c:pt idx="80">
                  <c:v>13.746907095337786</c:v>
                </c:pt>
                <c:pt idx="81">
                  <c:v>13.53822934433496</c:v>
                </c:pt>
                <c:pt idx="82">
                  <c:v>13.329708569408774</c:v>
                </c:pt>
                <c:pt idx="83">
                  <c:v>13.121344593499936</c:v>
                </c:pt>
                <c:pt idx="84">
                  <c:v>12.913137239815329</c:v>
                </c:pt>
                <c:pt idx="85">
                  <c:v>12.705086331827516</c:v>
                </c:pt>
                <c:pt idx="86">
                  <c:v>12.497191693274255</c:v>
                </c:pt>
                <c:pt idx="87">
                  <c:v>12.28945314815798</c:v>
                </c:pt>
                <c:pt idx="88">
                  <c:v>12.081870520745316</c:v>
                </c:pt>
                <c:pt idx="89">
                  <c:v>11.874443635566587</c:v>
                </c:pt>
                <c:pt idx="90">
                  <c:v>11.667172317415309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B386-47A4-9C12-9037D0719878}"/>
            </c:ext>
          </c:extLst>
        </c:ser>
        <c:ser>
          <c:idx val="21"/>
          <c:order val="21"/>
          <c:tx>
            <c:strRef>
              <c:f>Psychrometrics!$W$5</c:f>
              <c:strCache>
                <c:ptCount val="1"/>
                <c:pt idx="0">
                  <c:v>Twb = 30 KJ/kg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60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B386-47A4-9C12-9037D07198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Psychrometrics!$W$6:$W$96</c:f>
              <c:numCache>
                <c:formatCode>0.0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27.202568037933919</c:v>
                </c:pt>
                <c:pt idx="61">
                  <c:v>26.985353479508134</c:v>
                </c:pt>
                <c:pt idx="62">
                  <c:v>26.768304973607819</c:v>
                </c:pt>
                <c:pt idx="63">
                  <c:v>26.551422329894169</c:v>
                </c:pt>
                <c:pt idx="64">
                  <c:v>26.334705358319184</c:v>
                </c:pt>
                <c:pt idx="65">
                  <c:v>26.118153869125081</c:v>
                </c:pt>
                <c:pt idx="66">
                  <c:v>25.901767672843771</c:v>
                </c:pt>
                <c:pt idx="67">
                  <c:v>25.685546580296304</c:v>
                </c:pt>
                <c:pt idx="68">
                  <c:v>25.469490402592289</c:v>
                </c:pt>
                <c:pt idx="69">
                  <c:v>25.253598951129376</c:v>
                </c:pt>
                <c:pt idx="70">
                  <c:v>25.037872037592692</c:v>
                </c:pt>
                <c:pt idx="71">
                  <c:v>24.822309473954292</c:v>
                </c:pt>
                <c:pt idx="72">
                  <c:v>24.606911072472634</c:v>
                </c:pt>
                <c:pt idx="73">
                  <c:v>24.391676645691998</c:v>
                </c:pt>
                <c:pt idx="74">
                  <c:v>24.176606006441965</c:v>
                </c:pt>
                <c:pt idx="75">
                  <c:v>23.961698967836885</c:v>
                </c:pt>
                <c:pt idx="76">
                  <c:v>23.7469553432753</c:v>
                </c:pt>
                <c:pt idx="77">
                  <c:v>23.532374946439443</c:v>
                </c:pt>
                <c:pt idx="78">
                  <c:v>23.317957591294672</c:v>
                </c:pt>
                <c:pt idx="79">
                  <c:v>23.103703092088949</c:v>
                </c:pt>
                <c:pt idx="80">
                  <c:v>22.889611263352293</c:v>
                </c:pt>
                <c:pt idx="81">
                  <c:v>22.675681919896242</c:v>
                </c:pt>
                <c:pt idx="82">
                  <c:v>22.461914876813331</c:v>
                </c:pt>
                <c:pt idx="83">
                  <c:v>22.24830994947656</c:v>
                </c:pt>
                <c:pt idx="84">
                  <c:v>22.034866953538852</c:v>
                </c:pt>
                <c:pt idx="85">
                  <c:v>21.821585704932513</c:v>
                </c:pt>
                <c:pt idx="86">
                  <c:v>21.608466019868743</c:v>
                </c:pt>
                <c:pt idx="87">
                  <c:v>21.395507714837059</c:v>
                </c:pt>
                <c:pt idx="88">
                  <c:v>21.182710606604797</c:v>
                </c:pt>
                <c:pt idx="89">
                  <c:v>20.970074512216595</c:v>
                </c:pt>
                <c:pt idx="90">
                  <c:v>20.757599248993831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B386-47A4-9C12-9037D0719878}"/>
            </c:ext>
          </c:extLst>
        </c:ser>
        <c:ser>
          <c:idx val="22"/>
          <c:order val="22"/>
          <c:tx>
            <c:strRef>
              <c:f>Psychrometrics!$X$5</c:f>
              <c:strCache>
                <c:ptCount val="1"/>
                <c:pt idx="0">
                  <c:v>Twb = 35 KJ/kg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Psychrometrics!$X$6:$X$96</c:f>
              <c:numCache>
                <c:formatCode>0.0</c:formatCode>
                <c:ptCount val="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36.575729247562727</c:v>
                </c:pt>
                <c:pt idx="71">
                  <c:v>36.353869718122674</c:v>
                </c:pt>
                <c:pt idx="72">
                  <c:v>36.132180606706861</c:v>
                </c:pt>
                <c:pt idx="73">
                  <c:v>35.910661717034614</c:v>
                </c:pt>
                <c:pt idx="74">
                  <c:v>35.68931285312663</c:v>
                </c:pt>
                <c:pt idx="75">
                  <c:v>35.468133819304327</c:v>
                </c:pt>
                <c:pt idx="76">
                  <c:v>35.24712442018923</c:v>
                </c:pt>
                <c:pt idx="77">
                  <c:v>35.026284460702485</c:v>
                </c:pt>
                <c:pt idx="78">
                  <c:v>34.805613746064253</c:v>
                </c:pt>
                <c:pt idx="79">
                  <c:v>34.585112081793071</c:v>
                </c:pt>
                <c:pt idx="80">
                  <c:v>34.364779273705395</c:v>
                </c:pt>
                <c:pt idx="81">
                  <c:v>34.14461512791496</c:v>
                </c:pt>
                <c:pt idx="82">
                  <c:v>33.924619450832175</c:v>
                </c:pt>
                <c:pt idx="83">
                  <c:v>33.704792049163665</c:v>
                </c:pt>
                <c:pt idx="84">
                  <c:v>33.485132729911626</c:v>
                </c:pt>
                <c:pt idx="85">
                  <c:v>33.265641300373247</c:v>
                </c:pt>
                <c:pt idx="86">
                  <c:v>33.046317568140211</c:v>
                </c:pt>
                <c:pt idx="87">
                  <c:v>32.827161341098105</c:v>
                </c:pt>
                <c:pt idx="88">
                  <c:v>32.608172427425806</c:v>
                </c:pt>
                <c:pt idx="89">
                  <c:v>32.389350635595008</c:v>
                </c:pt>
                <c:pt idx="90">
                  <c:v>32.170695774369641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386-47A4-9C12-9037D0719878}"/>
            </c:ext>
          </c:extLst>
        </c:ser>
        <c:ser>
          <c:idx val="23"/>
          <c:order val="23"/>
          <c:tx>
            <c:strRef>
              <c:f>Psychrometrics!$Y$5</c:f>
              <c:strCache>
                <c:ptCount val="1"/>
                <c:pt idx="0">
                  <c:v>pv = 1 KPa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Lbl>
              <c:idx val="7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B386-47A4-9C12-9037D07198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Psychrometrics!$Y$6:$Y$96</c:f>
              <c:numCache>
                <c:formatCode>0.0000</c:formatCode>
                <c:ptCount val="91"/>
                <c:pt idx="7">
                  <c:v>6.199302267630201</c:v>
                </c:pt>
                <c:pt idx="8">
                  <c:v>6.199302267630201</c:v>
                </c:pt>
                <c:pt idx="9">
                  <c:v>6.199302267630201</c:v>
                </c:pt>
                <c:pt idx="10">
                  <c:v>6.199302267630201</c:v>
                </c:pt>
                <c:pt idx="11">
                  <c:v>6.199302267630201</c:v>
                </c:pt>
                <c:pt idx="12">
                  <c:v>6.199302267630201</c:v>
                </c:pt>
                <c:pt idx="13">
                  <c:v>6.199302267630201</c:v>
                </c:pt>
                <c:pt idx="14">
                  <c:v>6.199302267630201</c:v>
                </c:pt>
                <c:pt idx="15">
                  <c:v>6.199302267630201</c:v>
                </c:pt>
                <c:pt idx="16">
                  <c:v>6.199302267630201</c:v>
                </c:pt>
                <c:pt idx="17">
                  <c:v>6.199302267630201</c:v>
                </c:pt>
                <c:pt idx="18">
                  <c:v>6.199302267630201</c:v>
                </c:pt>
                <c:pt idx="19">
                  <c:v>6.199302267630201</c:v>
                </c:pt>
                <c:pt idx="20">
                  <c:v>6.199302267630201</c:v>
                </c:pt>
                <c:pt idx="21">
                  <c:v>6.199302267630201</c:v>
                </c:pt>
                <c:pt idx="22">
                  <c:v>6.199302267630201</c:v>
                </c:pt>
                <c:pt idx="23">
                  <c:v>6.199302267630201</c:v>
                </c:pt>
                <c:pt idx="24">
                  <c:v>6.199302267630201</c:v>
                </c:pt>
                <c:pt idx="25">
                  <c:v>6.199302267630201</c:v>
                </c:pt>
                <c:pt idx="26">
                  <c:v>6.199302267630201</c:v>
                </c:pt>
                <c:pt idx="27">
                  <c:v>6.199302267630201</c:v>
                </c:pt>
                <c:pt idx="28">
                  <c:v>6.199302267630201</c:v>
                </c:pt>
                <c:pt idx="29">
                  <c:v>6.199302267630201</c:v>
                </c:pt>
                <c:pt idx="30">
                  <c:v>6.199302267630201</c:v>
                </c:pt>
                <c:pt idx="31">
                  <c:v>6.199302267630201</c:v>
                </c:pt>
                <c:pt idx="32">
                  <c:v>6.199302267630201</c:v>
                </c:pt>
                <c:pt idx="33">
                  <c:v>6.199302267630201</c:v>
                </c:pt>
                <c:pt idx="34">
                  <c:v>6.199302267630201</c:v>
                </c:pt>
                <c:pt idx="35">
                  <c:v>6.199302267630201</c:v>
                </c:pt>
                <c:pt idx="36">
                  <c:v>6.199302267630201</c:v>
                </c:pt>
                <c:pt idx="37">
                  <c:v>6.199302267630201</c:v>
                </c:pt>
                <c:pt idx="38">
                  <c:v>6.199302267630201</c:v>
                </c:pt>
                <c:pt idx="39">
                  <c:v>6.199302267630201</c:v>
                </c:pt>
                <c:pt idx="40">
                  <c:v>6.199302267630201</c:v>
                </c:pt>
                <c:pt idx="41">
                  <c:v>6.199302267630201</c:v>
                </c:pt>
                <c:pt idx="42">
                  <c:v>6.199302267630201</c:v>
                </c:pt>
                <c:pt idx="43">
                  <c:v>6.199302267630201</c:v>
                </c:pt>
                <c:pt idx="44">
                  <c:v>6.199302267630201</c:v>
                </c:pt>
                <c:pt idx="45">
                  <c:v>6.199302267630201</c:v>
                </c:pt>
                <c:pt idx="46">
                  <c:v>6.199302267630201</c:v>
                </c:pt>
                <c:pt idx="47">
                  <c:v>6.199302267630201</c:v>
                </c:pt>
                <c:pt idx="48">
                  <c:v>6.199302267630201</c:v>
                </c:pt>
                <c:pt idx="49">
                  <c:v>6.199302267630201</c:v>
                </c:pt>
                <c:pt idx="50">
                  <c:v>6.199302267630201</c:v>
                </c:pt>
                <c:pt idx="51">
                  <c:v>6.199302267630201</c:v>
                </c:pt>
                <c:pt idx="52">
                  <c:v>6.199302267630201</c:v>
                </c:pt>
                <c:pt idx="53">
                  <c:v>6.199302267630201</c:v>
                </c:pt>
                <c:pt idx="54">
                  <c:v>6.199302267630201</c:v>
                </c:pt>
                <c:pt idx="55">
                  <c:v>6.199302267630201</c:v>
                </c:pt>
                <c:pt idx="56">
                  <c:v>6.199302267630201</c:v>
                </c:pt>
                <c:pt idx="57">
                  <c:v>6.199302267630201</c:v>
                </c:pt>
                <c:pt idx="58">
                  <c:v>6.199302267630201</c:v>
                </c:pt>
                <c:pt idx="59">
                  <c:v>6.199302267630201</c:v>
                </c:pt>
                <c:pt idx="60">
                  <c:v>6.199302267630201</c:v>
                </c:pt>
                <c:pt idx="61">
                  <c:v>6.199302267630201</c:v>
                </c:pt>
                <c:pt idx="62">
                  <c:v>6.199302267630201</c:v>
                </c:pt>
                <c:pt idx="63">
                  <c:v>6.199302267630201</c:v>
                </c:pt>
                <c:pt idx="64">
                  <c:v>6.199302267630201</c:v>
                </c:pt>
                <c:pt idx="65">
                  <c:v>6.199302267630201</c:v>
                </c:pt>
                <c:pt idx="66">
                  <c:v>6.199302267630201</c:v>
                </c:pt>
                <c:pt idx="67">
                  <c:v>6.199302267630201</c:v>
                </c:pt>
                <c:pt idx="68">
                  <c:v>6.199302267630201</c:v>
                </c:pt>
                <c:pt idx="69">
                  <c:v>6.199302267630201</c:v>
                </c:pt>
                <c:pt idx="70">
                  <c:v>6.199302267630201</c:v>
                </c:pt>
                <c:pt idx="71">
                  <c:v>6.199302267630201</c:v>
                </c:pt>
                <c:pt idx="72">
                  <c:v>6.199302267630201</c:v>
                </c:pt>
                <c:pt idx="73">
                  <c:v>6.199302267630201</c:v>
                </c:pt>
                <c:pt idx="74">
                  <c:v>6.199302267630201</c:v>
                </c:pt>
                <c:pt idx="75">
                  <c:v>6.199302267630201</c:v>
                </c:pt>
                <c:pt idx="76">
                  <c:v>6.199302267630201</c:v>
                </c:pt>
                <c:pt idx="77">
                  <c:v>6.199302267630201</c:v>
                </c:pt>
                <c:pt idx="78">
                  <c:v>6.199302267630201</c:v>
                </c:pt>
                <c:pt idx="79">
                  <c:v>6.199302267630201</c:v>
                </c:pt>
                <c:pt idx="80">
                  <c:v>6.199302267630201</c:v>
                </c:pt>
                <c:pt idx="81">
                  <c:v>6.199302267630201</c:v>
                </c:pt>
                <c:pt idx="82">
                  <c:v>6.199302267630201</c:v>
                </c:pt>
                <c:pt idx="83">
                  <c:v>6.199302267630201</c:v>
                </c:pt>
                <c:pt idx="84">
                  <c:v>6.199302267630201</c:v>
                </c:pt>
                <c:pt idx="85">
                  <c:v>6.199302267630201</c:v>
                </c:pt>
                <c:pt idx="86">
                  <c:v>6.199302267630201</c:v>
                </c:pt>
                <c:pt idx="87">
                  <c:v>6.199302267630201</c:v>
                </c:pt>
                <c:pt idx="88">
                  <c:v>6.199302267630201</c:v>
                </c:pt>
                <c:pt idx="89">
                  <c:v>6.199302267630201</c:v>
                </c:pt>
                <c:pt idx="90">
                  <c:v>6.199302267630201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B386-47A4-9C12-9037D0719878}"/>
            </c:ext>
          </c:extLst>
        </c:ser>
        <c:ser>
          <c:idx val="24"/>
          <c:order val="24"/>
          <c:tx>
            <c:strRef>
              <c:f>Psychrometrics!$Z$5</c:f>
              <c:strCache>
                <c:ptCount val="1"/>
                <c:pt idx="0">
                  <c:v>pv = 2 KPa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Lbl>
              <c:idx val="32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B386-47A4-9C12-9037D07198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Psychrometrics!$Z$6:$Z$96</c:f>
              <c:numCache>
                <c:formatCode>0.0000</c:formatCode>
                <c:ptCount val="91"/>
                <c:pt idx="32">
                  <c:v>12.523433173923985</c:v>
                </c:pt>
                <c:pt idx="33">
                  <c:v>12.523433173923985</c:v>
                </c:pt>
                <c:pt idx="34">
                  <c:v>12.523433173923985</c:v>
                </c:pt>
                <c:pt idx="35">
                  <c:v>12.523433173923985</c:v>
                </c:pt>
                <c:pt idx="36">
                  <c:v>12.523433173923985</c:v>
                </c:pt>
                <c:pt idx="37">
                  <c:v>12.523433173923985</c:v>
                </c:pt>
                <c:pt idx="38">
                  <c:v>12.523433173923985</c:v>
                </c:pt>
                <c:pt idx="39">
                  <c:v>12.523433173923985</c:v>
                </c:pt>
                <c:pt idx="40">
                  <c:v>12.523433173923985</c:v>
                </c:pt>
                <c:pt idx="41">
                  <c:v>12.523433173923985</c:v>
                </c:pt>
                <c:pt idx="42">
                  <c:v>12.523433173923985</c:v>
                </c:pt>
                <c:pt idx="43">
                  <c:v>12.523433173923985</c:v>
                </c:pt>
                <c:pt idx="44">
                  <c:v>12.523433173923985</c:v>
                </c:pt>
                <c:pt idx="45">
                  <c:v>12.523433173923985</c:v>
                </c:pt>
                <c:pt idx="46">
                  <c:v>12.523433173923985</c:v>
                </c:pt>
                <c:pt idx="47">
                  <c:v>12.523433173923985</c:v>
                </c:pt>
                <c:pt idx="48">
                  <c:v>12.523433173923985</c:v>
                </c:pt>
                <c:pt idx="49">
                  <c:v>12.523433173923985</c:v>
                </c:pt>
                <c:pt idx="50">
                  <c:v>12.523433173923985</c:v>
                </c:pt>
                <c:pt idx="51">
                  <c:v>12.523433173923985</c:v>
                </c:pt>
                <c:pt idx="52">
                  <c:v>12.523433173923985</c:v>
                </c:pt>
                <c:pt idx="53">
                  <c:v>12.523433173923985</c:v>
                </c:pt>
                <c:pt idx="54">
                  <c:v>12.523433173923985</c:v>
                </c:pt>
                <c:pt idx="55">
                  <c:v>12.523433173923985</c:v>
                </c:pt>
                <c:pt idx="56">
                  <c:v>12.523433173923985</c:v>
                </c:pt>
                <c:pt idx="57">
                  <c:v>12.523433173923985</c:v>
                </c:pt>
                <c:pt idx="58">
                  <c:v>12.523433173923985</c:v>
                </c:pt>
                <c:pt idx="59">
                  <c:v>12.523433173923985</c:v>
                </c:pt>
                <c:pt idx="60">
                  <c:v>12.523433173923985</c:v>
                </c:pt>
                <c:pt idx="61">
                  <c:v>12.523433173923985</c:v>
                </c:pt>
                <c:pt idx="62">
                  <c:v>12.523433173923985</c:v>
                </c:pt>
                <c:pt idx="63">
                  <c:v>12.523433173923985</c:v>
                </c:pt>
                <c:pt idx="64">
                  <c:v>12.523433173923985</c:v>
                </c:pt>
                <c:pt idx="65">
                  <c:v>12.523433173923985</c:v>
                </c:pt>
                <c:pt idx="66">
                  <c:v>12.523433173923985</c:v>
                </c:pt>
                <c:pt idx="67">
                  <c:v>12.523433173923985</c:v>
                </c:pt>
                <c:pt idx="68">
                  <c:v>12.523433173923985</c:v>
                </c:pt>
                <c:pt idx="69">
                  <c:v>12.523433173923985</c:v>
                </c:pt>
                <c:pt idx="70">
                  <c:v>12.523433173923985</c:v>
                </c:pt>
                <c:pt idx="71">
                  <c:v>12.523433173923985</c:v>
                </c:pt>
                <c:pt idx="72">
                  <c:v>12.523433173923985</c:v>
                </c:pt>
                <c:pt idx="73">
                  <c:v>12.523433173923985</c:v>
                </c:pt>
                <c:pt idx="74">
                  <c:v>12.523433173923985</c:v>
                </c:pt>
                <c:pt idx="75">
                  <c:v>12.523433173923985</c:v>
                </c:pt>
                <c:pt idx="76">
                  <c:v>12.523433173923985</c:v>
                </c:pt>
                <c:pt idx="77">
                  <c:v>12.523433173923985</c:v>
                </c:pt>
                <c:pt idx="78">
                  <c:v>12.523433173923985</c:v>
                </c:pt>
                <c:pt idx="79">
                  <c:v>12.523433173923985</c:v>
                </c:pt>
                <c:pt idx="80">
                  <c:v>12.523433173923985</c:v>
                </c:pt>
                <c:pt idx="81">
                  <c:v>12.523433173923985</c:v>
                </c:pt>
                <c:pt idx="82">
                  <c:v>12.523433173923985</c:v>
                </c:pt>
                <c:pt idx="83">
                  <c:v>12.523433173923985</c:v>
                </c:pt>
                <c:pt idx="84">
                  <c:v>12.523433173923985</c:v>
                </c:pt>
                <c:pt idx="85">
                  <c:v>12.523433173923985</c:v>
                </c:pt>
                <c:pt idx="86">
                  <c:v>12.523433173923985</c:v>
                </c:pt>
                <c:pt idx="87">
                  <c:v>12.523433173923985</c:v>
                </c:pt>
                <c:pt idx="88">
                  <c:v>12.523433173923985</c:v>
                </c:pt>
                <c:pt idx="89">
                  <c:v>12.523433173923985</c:v>
                </c:pt>
                <c:pt idx="90">
                  <c:v>12.523433173923985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B386-47A4-9C12-9037D0719878}"/>
            </c:ext>
          </c:extLst>
        </c:ser>
        <c:ser>
          <c:idx val="25"/>
          <c:order val="25"/>
          <c:tx>
            <c:strRef>
              <c:f>Psychrometrics!$AA$5</c:f>
              <c:strCache>
                <c:ptCount val="1"/>
                <c:pt idx="0">
                  <c:v>pv = 3 KPa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Lbl>
              <c:idx val="46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B386-47A4-9C12-9037D07198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Psychrometrics!$AA$6:$AA$96</c:f>
              <c:numCache>
                <c:formatCode>0.0000</c:formatCode>
                <c:ptCount val="91"/>
                <c:pt idx="46">
                  <c:v>18.976201372997711</c:v>
                </c:pt>
                <c:pt idx="47">
                  <c:v>18.976201372997711</c:v>
                </c:pt>
                <c:pt idx="48">
                  <c:v>18.976201372997711</c:v>
                </c:pt>
                <c:pt idx="49">
                  <c:v>18.976201372997711</c:v>
                </c:pt>
                <c:pt idx="50">
                  <c:v>18.976201372997711</c:v>
                </c:pt>
                <c:pt idx="51">
                  <c:v>18.976201372997711</c:v>
                </c:pt>
                <c:pt idx="52">
                  <c:v>18.976201372997711</c:v>
                </c:pt>
                <c:pt idx="53">
                  <c:v>18.976201372997711</c:v>
                </c:pt>
                <c:pt idx="54">
                  <c:v>18.976201372997711</c:v>
                </c:pt>
                <c:pt idx="55">
                  <c:v>18.976201372997711</c:v>
                </c:pt>
                <c:pt idx="56">
                  <c:v>18.976201372997711</c:v>
                </c:pt>
                <c:pt idx="57">
                  <c:v>18.976201372997711</c:v>
                </c:pt>
                <c:pt idx="58">
                  <c:v>18.976201372997711</c:v>
                </c:pt>
                <c:pt idx="59">
                  <c:v>18.976201372997711</c:v>
                </c:pt>
                <c:pt idx="60">
                  <c:v>18.976201372997711</c:v>
                </c:pt>
                <c:pt idx="61">
                  <c:v>18.976201372997711</c:v>
                </c:pt>
                <c:pt idx="62">
                  <c:v>18.976201372997711</c:v>
                </c:pt>
                <c:pt idx="63">
                  <c:v>18.976201372997711</c:v>
                </c:pt>
                <c:pt idx="64">
                  <c:v>18.976201372997711</c:v>
                </c:pt>
                <c:pt idx="65">
                  <c:v>18.976201372997711</c:v>
                </c:pt>
                <c:pt idx="66">
                  <c:v>18.976201372997711</c:v>
                </c:pt>
                <c:pt idx="67">
                  <c:v>18.976201372997711</c:v>
                </c:pt>
                <c:pt idx="68">
                  <c:v>18.976201372997711</c:v>
                </c:pt>
                <c:pt idx="69">
                  <c:v>18.976201372997711</c:v>
                </c:pt>
                <c:pt idx="70">
                  <c:v>18.976201372997711</c:v>
                </c:pt>
                <c:pt idx="71">
                  <c:v>18.976201372997711</c:v>
                </c:pt>
                <c:pt idx="72">
                  <c:v>18.976201372997711</c:v>
                </c:pt>
                <c:pt idx="73">
                  <c:v>18.976201372997711</c:v>
                </c:pt>
                <c:pt idx="74">
                  <c:v>18.976201372997711</c:v>
                </c:pt>
                <c:pt idx="75">
                  <c:v>18.976201372997711</c:v>
                </c:pt>
                <c:pt idx="76">
                  <c:v>18.976201372997711</c:v>
                </c:pt>
                <c:pt idx="77">
                  <c:v>18.976201372997711</c:v>
                </c:pt>
                <c:pt idx="78">
                  <c:v>18.976201372997711</c:v>
                </c:pt>
                <c:pt idx="79">
                  <c:v>18.976201372997711</c:v>
                </c:pt>
                <c:pt idx="80">
                  <c:v>18.976201372997711</c:v>
                </c:pt>
                <c:pt idx="81">
                  <c:v>18.976201372997711</c:v>
                </c:pt>
                <c:pt idx="82">
                  <c:v>18.976201372997711</c:v>
                </c:pt>
                <c:pt idx="83">
                  <c:v>18.976201372997711</c:v>
                </c:pt>
                <c:pt idx="84">
                  <c:v>18.976201372997711</c:v>
                </c:pt>
                <c:pt idx="85">
                  <c:v>18.976201372997711</c:v>
                </c:pt>
                <c:pt idx="86">
                  <c:v>18.976201372997711</c:v>
                </c:pt>
                <c:pt idx="87">
                  <c:v>18.976201372997711</c:v>
                </c:pt>
                <c:pt idx="88">
                  <c:v>18.976201372997711</c:v>
                </c:pt>
                <c:pt idx="89">
                  <c:v>18.976201372997711</c:v>
                </c:pt>
                <c:pt idx="90">
                  <c:v>18.976201372997711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B386-47A4-9C12-9037D0719878}"/>
            </c:ext>
          </c:extLst>
        </c:ser>
        <c:ser>
          <c:idx val="26"/>
          <c:order val="26"/>
          <c:tx>
            <c:strRef>
              <c:f>Psychrometrics!$AB$5</c:f>
              <c:strCache>
                <c:ptCount val="1"/>
                <c:pt idx="0">
                  <c:v>pv = 4 KPa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Lbl>
              <c:idx val="56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B386-47A4-9C12-9037D07198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Psychrometrics!$AB$6:$AB$96</c:f>
              <c:numCache>
                <c:formatCode>0.0000</c:formatCode>
                <c:ptCount val="91"/>
                <c:pt idx="56">
                  <c:v>25.561572052401743</c:v>
                </c:pt>
                <c:pt idx="57">
                  <c:v>25.561572052401743</c:v>
                </c:pt>
                <c:pt idx="58">
                  <c:v>25.561572052401743</c:v>
                </c:pt>
                <c:pt idx="59">
                  <c:v>25.561572052401743</c:v>
                </c:pt>
                <c:pt idx="60">
                  <c:v>25.561572052401743</c:v>
                </c:pt>
                <c:pt idx="61">
                  <c:v>25.561572052401743</c:v>
                </c:pt>
                <c:pt idx="62">
                  <c:v>25.561572052401743</c:v>
                </c:pt>
                <c:pt idx="63">
                  <c:v>25.561572052401743</c:v>
                </c:pt>
                <c:pt idx="64">
                  <c:v>25.561572052401743</c:v>
                </c:pt>
                <c:pt idx="65">
                  <c:v>25.561572052401743</c:v>
                </c:pt>
                <c:pt idx="66">
                  <c:v>25.561572052401743</c:v>
                </c:pt>
                <c:pt idx="67">
                  <c:v>25.561572052401743</c:v>
                </c:pt>
                <c:pt idx="68">
                  <c:v>25.561572052401743</c:v>
                </c:pt>
                <c:pt idx="69">
                  <c:v>25.561572052401743</c:v>
                </c:pt>
                <c:pt idx="70">
                  <c:v>25.561572052401743</c:v>
                </c:pt>
                <c:pt idx="71">
                  <c:v>25.561572052401743</c:v>
                </c:pt>
                <c:pt idx="72">
                  <c:v>25.561572052401743</c:v>
                </c:pt>
                <c:pt idx="73">
                  <c:v>25.561572052401743</c:v>
                </c:pt>
                <c:pt idx="74">
                  <c:v>25.561572052401743</c:v>
                </c:pt>
                <c:pt idx="75">
                  <c:v>25.561572052401743</c:v>
                </c:pt>
                <c:pt idx="76">
                  <c:v>25.561572052401743</c:v>
                </c:pt>
                <c:pt idx="77">
                  <c:v>25.561572052401743</c:v>
                </c:pt>
                <c:pt idx="78">
                  <c:v>25.561572052401743</c:v>
                </c:pt>
                <c:pt idx="79">
                  <c:v>25.561572052401743</c:v>
                </c:pt>
                <c:pt idx="80">
                  <c:v>25.561572052401743</c:v>
                </c:pt>
                <c:pt idx="81">
                  <c:v>25.561572052401743</c:v>
                </c:pt>
                <c:pt idx="82">
                  <c:v>25.561572052401743</c:v>
                </c:pt>
                <c:pt idx="83">
                  <c:v>25.561572052401743</c:v>
                </c:pt>
                <c:pt idx="84">
                  <c:v>25.561572052401743</c:v>
                </c:pt>
                <c:pt idx="85">
                  <c:v>25.561572052401743</c:v>
                </c:pt>
                <c:pt idx="86">
                  <c:v>25.561572052401743</c:v>
                </c:pt>
                <c:pt idx="87">
                  <c:v>25.561572052401743</c:v>
                </c:pt>
                <c:pt idx="88">
                  <c:v>25.561572052401743</c:v>
                </c:pt>
                <c:pt idx="89">
                  <c:v>25.561572052401743</c:v>
                </c:pt>
                <c:pt idx="90">
                  <c:v>25.561572052401743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B386-47A4-9C12-9037D0719878}"/>
            </c:ext>
          </c:extLst>
        </c:ser>
        <c:ser>
          <c:idx val="27"/>
          <c:order val="27"/>
          <c:tx>
            <c:strRef>
              <c:f>Psychrometrics!$AC$5</c:f>
              <c:strCache>
                <c:ptCount val="1"/>
                <c:pt idx="0">
                  <c:v>pv = 5 KPa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Lbl>
              <c:idx val="65"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B386-47A4-9C12-9037D07198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Psychrometrics!$A$6:$A$96</c:f>
              <c:numCache>
                <c:formatCode>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Psychrometrics!$AC$6:$AC$96</c:f>
              <c:numCache>
                <c:formatCode>0.0000</c:formatCode>
                <c:ptCount val="91"/>
                <c:pt idx="65">
                  <c:v>32.283675058396057</c:v>
                </c:pt>
                <c:pt idx="66">
                  <c:v>32.283675058396057</c:v>
                </c:pt>
                <c:pt idx="67">
                  <c:v>32.283675058396057</c:v>
                </c:pt>
                <c:pt idx="68">
                  <c:v>32.283675058396057</c:v>
                </c:pt>
                <c:pt idx="69">
                  <c:v>32.283675058396057</c:v>
                </c:pt>
                <c:pt idx="70">
                  <c:v>32.283675058396057</c:v>
                </c:pt>
                <c:pt idx="71">
                  <c:v>32.283675058396057</c:v>
                </c:pt>
                <c:pt idx="72">
                  <c:v>32.283675058396057</c:v>
                </c:pt>
                <c:pt idx="73">
                  <c:v>32.283675058396057</c:v>
                </c:pt>
                <c:pt idx="74">
                  <c:v>32.283675058396057</c:v>
                </c:pt>
                <c:pt idx="75">
                  <c:v>32.283675058396057</c:v>
                </c:pt>
                <c:pt idx="76">
                  <c:v>32.283675058396057</c:v>
                </c:pt>
                <c:pt idx="77">
                  <c:v>32.283675058396057</c:v>
                </c:pt>
                <c:pt idx="78">
                  <c:v>32.283675058396057</c:v>
                </c:pt>
                <c:pt idx="79">
                  <c:v>32.283675058396057</c:v>
                </c:pt>
                <c:pt idx="80">
                  <c:v>32.283675058396057</c:v>
                </c:pt>
                <c:pt idx="81">
                  <c:v>32.283675058396057</c:v>
                </c:pt>
                <c:pt idx="82">
                  <c:v>32.283675058396057</c:v>
                </c:pt>
                <c:pt idx="83">
                  <c:v>32.283675058396057</c:v>
                </c:pt>
                <c:pt idx="84">
                  <c:v>32.283675058396057</c:v>
                </c:pt>
                <c:pt idx="85">
                  <c:v>32.283675058396057</c:v>
                </c:pt>
                <c:pt idx="86">
                  <c:v>32.283675058396057</c:v>
                </c:pt>
                <c:pt idx="87">
                  <c:v>32.283675058396057</c:v>
                </c:pt>
                <c:pt idx="88">
                  <c:v>32.283675058396057</c:v>
                </c:pt>
                <c:pt idx="89">
                  <c:v>32.283675058396057</c:v>
                </c:pt>
                <c:pt idx="90">
                  <c:v>32.283675058396057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B386-47A4-9C12-9037D0719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705503"/>
        <c:axId val="320450751"/>
      </c:scatterChart>
      <c:valAx>
        <c:axId val="341705503"/>
        <c:scaling>
          <c:orientation val="minMax"/>
          <c:max val="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Dry-bulb temperature (ºC)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20450751"/>
        <c:crosses val="autoZero"/>
        <c:crossBetween val="midCat"/>
      </c:valAx>
      <c:valAx>
        <c:axId val="320450751"/>
        <c:scaling>
          <c:orientation val="minMax"/>
          <c:max val="35"/>
          <c:min val="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Absolute Humidity (g</a:t>
                </a:r>
                <a:r>
                  <a:rPr lang="pt-PT" baseline="0"/>
                  <a:t> water / kg air)</a:t>
                </a:r>
                <a:endParaRPr lang="pt-P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41705503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633798254559825"/>
          <c:y val="2.6749076493140567E-2"/>
          <c:w val="0.11547250834454018"/>
          <c:h val="0.95922879093621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5453E97-C01A-4547-8719-082AD0393019}">
  <sheetPr codeName="Chart1"/>
  <sheetViews>
    <sheetView zoomScale="12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BEB8A5-28E5-4ABF-840C-6B0DD277A26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72B97-79F5-4EA8-9305-F0E50C0B646C}">
  <sheetPr codeName="Sheet4"/>
  <dimension ref="B1:D17"/>
  <sheetViews>
    <sheetView showGridLines="0" tabSelected="1" workbookViewId="0">
      <selection activeCell="E37" sqref="E37"/>
    </sheetView>
  </sheetViews>
  <sheetFormatPr defaultRowHeight="15" x14ac:dyDescent="0.25"/>
  <cols>
    <col min="1" max="1" width="3.28515625" customWidth="1"/>
    <col min="2" max="2" width="10.28515625" customWidth="1"/>
  </cols>
  <sheetData>
    <row r="1" spans="2:4" ht="33.75" x14ac:dyDescent="0.5">
      <c r="B1" s="6" t="s">
        <v>3</v>
      </c>
    </row>
    <row r="3" spans="2:4" x14ac:dyDescent="0.25">
      <c r="B3" s="5" t="s">
        <v>4</v>
      </c>
      <c r="C3" s="5" t="s">
        <v>5</v>
      </c>
    </row>
    <row r="6" spans="2:4" x14ac:dyDescent="0.25">
      <c r="B6" s="5" t="s">
        <v>6</v>
      </c>
    </row>
    <row r="8" spans="2:4" x14ac:dyDescent="0.25">
      <c r="B8" s="5" t="s">
        <v>7</v>
      </c>
      <c r="D8" s="5" t="s">
        <v>8</v>
      </c>
    </row>
    <row r="11" spans="2:4" x14ac:dyDescent="0.25">
      <c r="B11" s="5" t="s">
        <v>26</v>
      </c>
    </row>
    <row r="12" spans="2:4" x14ac:dyDescent="0.25">
      <c r="B12" s="5" t="s">
        <v>14</v>
      </c>
      <c r="C12" s="5" t="s">
        <v>21</v>
      </c>
    </row>
    <row r="13" spans="2:4" x14ac:dyDescent="0.25">
      <c r="B13" s="5" t="s">
        <v>15</v>
      </c>
      <c r="C13" s="5" t="s">
        <v>20</v>
      </c>
    </row>
    <row r="14" spans="2:4" x14ac:dyDescent="0.25">
      <c r="B14" s="5" t="s">
        <v>16</v>
      </c>
      <c r="C14" s="5" t="s">
        <v>18</v>
      </c>
    </row>
    <row r="15" spans="2:4" x14ac:dyDescent="0.25">
      <c r="B15" s="15" t="s">
        <v>17</v>
      </c>
      <c r="C15" s="5" t="s">
        <v>19</v>
      </c>
    </row>
    <row r="16" spans="2:4" x14ac:dyDescent="0.25">
      <c r="B16" s="5" t="s">
        <v>22</v>
      </c>
      <c r="C16" s="5" t="s">
        <v>23</v>
      </c>
    </row>
    <row r="17" spans="2:3" x14ac:dyDescent="0.25">
      <c r="B17" s="5" t="s">
        <v>24</v>
      </c>
      <c r="C17" s="5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6223-C12C-4176-89FC-116CB5B378FB}">
  <sheetPr codeName="Sheet3"/>
  <dimension ref="A1:AC99"/>
  <sheetViews>
    <sheetView showGridLines="0" zoomScaleNormal="100" workbookViewId="0">
      <selection activeCell="B3" sqref="B3:K3"/>
    </sheetView>
  </sheetViews>
  <sheetFormatPr defaultRowHeight="15" x14ac:dyDescent="0.25"/>
  <cols>
    <col min="6" max="6" width="10" bestFit="1" customWidth="1"/>
  </cols>
  <sheetData>
    <row r="1" spans="1:29" x14ac:dyDescent="0.25">
      <c r="A1" s="7" t="s">
        <v>3</v>
      </c>
      <c r="D1" t="s">
        <v>1</v>
      </c>
      <c r="E1">
        <v>101325</v>
      </c>
      <c r="F1" t="s">
        <v>2</v>
      </c>
      <c r="H1" t="s">
        <v>13</v>
      </c>
      <c r="J1">
        <v>1.5</v>
      </c>
    </row>
    <row r="3" spans="1:29" x14ac:dyDescent="0.25">
      <c r="B3" s="8" t="s">
        <v>9</v>
      </c>
      <c r="C3" s="8"/>
      <c r="D3" s="8"/>
      <c r="E3" s="8"/>
      <c r="F3" s="8"/>
      <c r="G3" s="8"/>
      <c r="H3" s="8"/>
      <c r="I3" s="8"/>
      <c r="J3" s="8"/>
      <c r="K3" s="8"/>
      <c r="L3" s="9" t="s">
        <v>10</v>
      </c>
      <c r="M3" s="9"/>
      <c r="N3" s="9"/>
      <c r="O3" s="9"/>
      <c r="P3" s="9"/>
      <c r="Q3" s="9"/>
      <c r="R3" s="12" t="s">
        <v>11</v>
      </c>
      <c r="S3" s="12"/>
      <c r="T3" s="12"/>
      <c r="U3" s="12"/>
      <c r="V3" s="12"/>
      <c r="W3" s="12"/>
      <c r="X3" s="12"/>
      <c r="Y3" s="14" t="s">
        <v>12</v>
      </c>
      <c r="Z3" s="14"/>
      <c r="AA3" s="14"/>
      <c r="AB3" s="14"/>
      <c r="AC3" s="14"/>
    </row>
    <row r="4" spans="1:29" x14ac:dyDescent="0.25">
      <c r="A4" s="1"/>
      <c r="B4">
        <v>1</v>
      </c>
      <c r="C4">
        <v>0.9</v>
      </c>
      <c r="D4">
        <v>0.8</v>
      </c>
      <c r="E4">
        <v>0.7</v>
      </c>
      <c r="F4">
        <v>0.6</v>
      </c>
      <c r="G4">
        <v>0.5</v>
      </c>
      <c r="H4">
        <v>0.4</v>
      </c>
      <c r="I4">
        <v>0.3</v>
      </c>
      <c r="J4">
        <v>0.2</v>
      </c>
      <c r="K4">
        <v>0.1</v>
      </c>
      <c r="L4">
        <v>10</v>
      </c>
      <c r="M4">
        <v>30</v>
      </c>
      <c r="N4">
        <v>50</v>
      </c>
      <c r="O4">
        <v>70</v>
      </c>
      <c r="P4">
        <v>90</v>
      </c>
      <c r="Q4">
        <v>110</v>
      </c>
      <c r="R4">
        <v>5</v>
      </c>
      <c r="S4">
        <v>10</v>
      </c>
      <c r="T4">
        <v>15</v>
      </c>
      <c r="U4">
        <v>20</v>
      </c>
      <c r="V4">
        <v>25</v>
      </c>
      <c r="W4">
        <v>30</v>
      </c>
      <c r="X4">
        <v>35</v>
      </c>
      <c r="Y4">
        <v>1</v>
      </c>
      <c r="Z4">
        <v>2</v>
      </c>
      <c r="AA4">
        <v>3</v>
      </c>
      <c r="AB4">
        <v>4</v>
      </c>
      <c r="AC4">
        <v>5</v>
      </c>
    </row>
    <row r="5" spans="1:29" x14ac:dyDescent="0.25">
      <c r="A5" s="1" t="s">
        <v>0</v>
      </c>
      <c r="B5" s="3" t="str">
        <f>_xlfn.CONCAT("Hr = ",TEXT(B4,"0%"))</f>
        <v>Hr = 100%</v>
      </c>
      <c r="C5" s="3" t="str">
        <f>_xlfn.CONCAT("Hr = ",TEXT(C4,"0%"))</f>
        <v>Hr = 90%</v>
      </c>
      <c r="D5" s="3" t="str">
        <f t="shared" ref="D5:K5" si="0">_xlfn.CONCAT("Hr = ",TEXT(D4,"0%"))</f>
        <v>Hr = 80%</v>
      </c>
      <c r="E5" s="3" t="str">
        <f t="shared" si="0"/>
        <v>Hr = 70%</v>
      </c>
      <c r="F5" s="3" t="str">
        <f t="shared" si="0"/>
        <v>Hr = 60%</v>
      </c>
      <c r="G5" s="3" t="str">
        <f t="shared" si="0"/>
        <v>Hr = 50%</v>
      </c>
      <c r="H5" s="3" t="str">
        <f t="shared" si="0"/>
        <v>Hr = 40%</v>
      </c>
      <c r="I5" s="3" t="str">
        <f t="shared" si="0"/>
        <v>Hr = 30%</v>
      </c>
      <c r="J5" s="3" t="str">
        <f t="shared" si="0"/>
        <v>Hr = 20%</v>
      </c>
      <c r="K5" s="3" t="str">
        <f t="shared" si="0"/>
        <v>Hr = 10%</v>
      </c>
      <c r="L5" s="3" t="str">
        <f>_xlfn.CONCAT("H = ", TEXT(L4,"0")," KJ/kg")</f>
        <v>H = 10 KJ/kg</v>
      </c>
      <c r="M5" s="3" t="str">
        <f t="shared" ref="M5:Q5" si="1">_xlfn.CONCAT("H = ", TEXT(M4,"0")," KJ/kg")</f>
        <v>H = 30 KJ/kg</v>
      </c>
      <c r="N5" s="3" t="str">
        <f t="shared" si="1"/>
        <v>H = 50 KJ/kg</v>
      </c>
      <c r="O5" s="3" t="str">
        <f t="shared" si="1"/>
        <v>H = 70 KJ/kg</v>
      </c>
      <c r="P5" s="3" t="str">
        <f t="shared" si="1"/>
        <v>H = 90 KJ/kg</v>
      </c>
      <c r="Q5" s="3" t="str">
        <f t="shared" si="1"/>
        <v>H = 110 KJ/kg</v>
      </c>
      <c r="R5" s="3" t="str">
        <f>_xlfn.CONCAT("Twb = ", TEXT(R4,"0")," KJ/kg")</f>
        <v>Twb = 5 KJ/kg</v>
      </c>
      <c r="S5" s="3" t="str">
        <f t="shared" ref="S5:X5" si="2">_xlfn.CONCAT("Twb = ", TEXT(S4,"0")," KJ/kg")</f>
        <v>Twb = 10 KJ/kg</v>
      </c>
      <c r="T5" s="3" t="str">
        <f t="shared" si="2"/>
        <v>Twb = 15 KJ/kg</v>
      </c>
      <c r="U5" s="3" t="str">
        <f t="shared" si="2"/>
        <v>Twb = 20 KJ/kg</v>
      </c>
      <c r="V5" s="3" t="str">
        <f t="shared" si="2"/>
        <v>Twb = 25 KJ/kg</v>
      </c>
      <c r="W5" s="3" t="str">
        <f t="shared" si="2"/>
        <v>Twb = 30 KJ/kg</v>
      </c>
      <c r="X5" s="3" t="str">
        <f t="shared" si="2"/>
        <v>Twb = 35 KJ/kg</v>
      </c>
      <c r="Y5" s="3" t="str">
        <f>_xlfn.CONCAT("pv = ", TEXT(Y4,"0")," KPa")</f>
        <v>pv = 1 KPa</v>
      </c>
      <c r="Z5" s="3" t="str">
        <f t="shared" ref="Z5:AC5" si="3">_xlfn.CONCAT("pv = ", TEXT(Z4,"0")," KPa")</f>
        <v>pv = 2 KPa</v>
      </c>
      <c r="AA5" s="3" t="str">
        <f t="shared" si="3"/>
        <v>pv = 3 KPa</v>
      </c>
      <c r="AB5" s="3" t="str">
        <f t="shared" si="3"/>
        <v>pv = 4 KPa</v>
      </c>
      <c r="AC5" s="3" t="str">
        <f t="shared" si="3"/>
        <v>pv = 5 KPa</v>
      </c>
    </row>
    <row r="6" spans="1:29" x14ac:dyDescent="0.25">
      <c r="A6" s="2">
        <v>0</v>
      </c>
      <c r="B6" s="10">
        <f>GetSatHumRatio(A6,$E$1)*1000</f>
        <v>3.7740978140002555</v>
      </c>
      <c r="C6" s="11">
        <f>GetHumRatioFromRelHum($A6,C$4,$E$1)*1000</f>
        <v>3.394628098283679</v>
      </c>
      <c r="D6" s="11">
        <f>GetHumRatioFromRelHum($A6,D$4,$E$1)*1000</f>
        <v>3.0156183653002175</v>
      </c>
      <c r="E6" s="11">
        <f>GetHumRatioFromRelHum($A6,E$4,$E$1)*1000</f>
        <v>2.6370677791888837</v>
      </c>
      <c r="F6" s="11">
        <f>GetHumRatioFromRelHum($A6,F$4,$E$1)*1000</f>
        <v>2.2589755061126526</v>
      </c>
      <c r="G6" s="11">
        <f>GetHumRatioFromRelHum($A6,G$4,$E$1)*1000</f>
        <v>1.8813407142523373</v>
      </c>
      <c r="H6" s="11">
        <f>GetHumRatioFromRelHum($A6,H$4,$E$1)*1000</f>
        <v>1.5041625738004918</v>
      </c>
      <c r="I6" s="11">
        <f>GetHumRatioFromRelHum($A6,I$4,$E$1)*1000</f>
        <v>1.1274402569553303</v>
      </c>
      <c r="J6" s="11">
        <f>GetHumRatioFromRelHum($A6,J$4,$E$1)*1000</f>
        <v>0.75117293791467399</v>
      </c>
      <c r="K6" s="11">
        <f>GetHumRatioFromRelHum($A6,K$4,$E$1)*1000</f>
        <v>0.37535979286991356</v>
      </c>
      <c r="L6" s="11">
        <f>IF(GetHumRatioFromEnthalpyAndTDryBulb(L$4*1000,$A6)*1000&lt;=$B6+$J$1,GetHumRatioFromEnthalpyAndTDryBulb(L$4*1000,$A6)*1000)</f>
        <v>3.9984006397441023</v>
      </c>
      <c r="M6" s="11"/>
      <c r="N6" s="11"/>
      <c r="O6" s="11"/>
      <c r="P6" s="11"/>
      <c r="Q6" s="11"/>
      <c r="R6" s="13" t="e">
        <f>GetHumRatioFromTWetBulb($A6,R$4,$E$1)*1000</f>
        <v>#N/A</v>
      </c>
      <c r="S6" s="13" t="e">
        <f t="shared" ref="S6:X21" si="4">GetHumRatioFromTWetBulb($A6,S$4,$E$1)*1000</f>
        <v>#N/A</v>
      </c>
      <c r="T6" s="13" t="e">
        <f t="shared" si="4"/>
        <v>#N/A</v>
      </c>
      <c r="U6" s="13" t="e">
        <f t="shared" si="4"/>
        <v>#N/A</v>
      </c>
      <c r="V6" s="13" t="e">
        <f t="shared" si="4"/>
        <v>#N/A</v>
      </c>
      <c r="W6" s="13" t="e">
        <f t="shared" si="4"/>
        <v>#N/A</v>
      </c>
      <c r="X6" s="13" t="e">
        <f t="shared" si="4"/>
        <v>#N/A</v>
      </c>
      <c r="Y6" s="11"/>
      <c r="Z6" s="11"/>
      <c r="AA6" s="11"/>
      <c r="AB6" s="11"/>
      <c r="AC6" s="11"/>
    </row>
    <row r="7" spans="1:29" x14ac:dyDescent="0.25">
      <c r="A7" s="2">
        <f t="shared" ref="A7:A38" si="5">A6+0.5</f>
        <v>0.5</v>
      </c>
      <c r="B7" s="10">
        <f>GetSatHumRatio(A7,$E$1)*1000</f>
        <v>3.9146705336048533</v>
      </c>
      <c r="C7" s="11">
        <f>GetHumRatioFromRelHum(A7,$C$4,$E$1)*1000</f>
        <v>3.5209872866612879</v>
      </c>
      <c r="D7" s="11">
        <f>GetHumRatioFromRelHum($A7,D$4,$E$1)*1000</f>
        <v>3.1277990039298516</v>
      </c>
      <c r="E7" s="11">
        <f>GetHumRatioFromRelHum($A7,E$4,$E$1)*1000</f>
        <v>2.7351047525451215</v>
      </c>
      <c r="F7" s="11">
        <f>GetHumRatioFromRelHum($A7,F$4,$E$1)*1000</f>
        <v>2.3429036019844451</v>
      </c>
      <c r="G7" s="11">
        <f>GetHumRatioFromRelHum($A7,G$4,$E$1)*1000</f>
        <v>1.9511946240605937</v>
      </c>
      <c r="H7" s="11">
        <f>GetHumRatioFromRelHum($A7,H$4,$E$1)*1000</f>
        <v>1.559976892914438</v>
      </c>
      <c r="I7" s="11">
        <f>GetHumRatioFromRelHum($A7,I$4,$E$1)*1000</f>
        <v>1.169249485007656</v>
      </c>
      <c r="J7" s="11">
        <f>GetHumRatioFromRelHum($A7,J$4,$E$1)*1000</f>
        <v>0.7790114791154642</v>
      </c>
      <c r="K7" s="11">
        <f>GetHumRatioFromRelHum($A7,K$4,$E$1)*1000</f>
        <v>0.38926195631937849</v>
      </c>
      <c r="L7" s="11">
        <f>IF(GetHumRatioFromEnthalpyAndTDryBulb(L$4*1000,$A7)*1000&lt;=$B7+$J$1,GetHumRatioFromEnthalpyAndTDryBulb(L$4*1000,$A7)*1000)</f>
        <v>3.7958695886775411</v>
      </c>
      <c r="M7" s="11"/>
      <c r="N7" s="11"/>
      <c r="O7" s="11"/>
      <c r="P7" s="11"/>
      <c r="Q7" s="11"/>
      <c r="R7" s="13" t="e">
        <f t="shared" ref="R7:X38" si="6">GetHumRatioFromTWetBulb($A7,R$4,$E$1)*1000</f>
        <v>#N/A</v>
      </c>
      <c r="S7" s="13" t="e">
        <f t="shared" si="4"/>
        <v>#N/A</v>
      </c>
      <c r="T7" s="13" t="e">
        <f t="shared" si="4"/>
        <v>#N/A</v>
      </c>
      <c r="U7" s="13" t="e">
        <f t="shared" si="4"/>
        <v>#N/A</v>
      </c>
      <c r="V7" s="13" t="e">
        <f t="shared" si="4"/>
        <v>#N/A</v>
      </c>
      <c r="W7" s="13" t="e">
        <f t="shared" si="4"/>
        <v>#N/A</v>
      </c>
      <c r="X7" s="13" t="e">
        <f t="shared" si="4"/>
        <v>#N/A</v>
      </c>
      <c r="Y7" s="11"/>
      <c r="Z7" s="11"/>
      <c r="AA7" s="11"/>
      <c r="AB7" s="11"/>
      <c r="AC7" s="11"/>
    </row>
    <row r="8" spans="1:29" x14ac:dyDescent="0.25">
      <c r="A8" s="2">
        <f t="shared" si="5"/>
        <v>1</v>
      </c>
      <c r="B8" s="10">
        <f>GetSatHumRatio(A8,$E$1)*1000</f>
        <v>4.0595100804605115</v>
      </c>
      <c r="C8" s="11">
        <f>GetHumRatioFromRelHum(A8,$C$4,$E$1)*1000</f>
        <v>3.651175905832968</v>
      </c>
      <c r="D8" s="11">
        <f>GetHumRatioFromRelHum($A8,D$4,$E$1)*1000</f>
        <v>3.24337408554553</v>
      </c>
      <c r="E8" s="11">
        <f>GetHumRatioFromRelHum($A8,E$4,$E$1)*1000</f>
        <v>2.836103579213106</v>
      </c>
      <c r="F8" s="11">
        <f>GetHumRatioFromRelHum($A8,F$4,$E$1)*1000</f>
        <v>2.4293633491598157</v>
      </c>
      <c r="G8" s="11">
        <f>GetHumRatioFromRelHum($A8,G$4,$E$1)*1000</f>
        <v>2.0231523604101813</v>
      </c>
      <c r="H8" s="11">
        <f>GetHumRatioFromRelHum($A8,H$4,$E$1)*1000</f>
        <v>1.6174695806803479</v>
      </c>
      <c r="I8" s="11">
        <f>GetHumRatioFromRelHum($A8,I$4,$E$1)*1000</f>
        <v>1.2123139803693399</v>
      </c>
      <c r="J8" s="11">
        <f>GetHumRatioFromRelHum($A8,J$4,$E$1)*1000</f>
        <v>0.80768453255034822</v>
      </c>
      <c r="K8" s="11">
        <f>GetHumRatioFromRelHum($A8,K$4,$E$1)*1000</f>
        <v>0.40358021296205737</v>
      </c>
      <c r="L8" s="11">
        <f>IF(GetHumRatioFromEnthalpyAndTDryBulb(L$4*1000,$A8)*1000&lt;=$B8+$J$1,GetHumRatioFromEnthalpyAndTDryBulb(L$4*1000,$A8)*1000)</f>
        <v>3.5934890485284829</v>
      </c>
      <c r="M8" s="11"/>
      <c r="N8" s="11"/>
      <c r="O8" s="11"/>
      <c r="P8" s="11"/>
      <c r="Q8" s="11"/>
      <c r="R8" s="13" t="e">
        <f t="shared" si="6"/>
        <v>#N/A</v>
      </c>
      <c r="S8" s="13" t="e">
        <f t="shared" si="4"/>
        <v>#N/A</v>
      </c>
      <c r="T8" s="13" t="e">
        <f t="shared" si="4"/>
        <v>#N/A</v>
      </c>
      <c r="U8" s="13" t="e">
        <f t="shared" si="4"/>
        <v>#N/A</v>
      </c>
      <c r="V8" s="13" t="e">
        <f t="shared" si="4"/>
        <v>#N/A</v>
      </c>
      <c r="W8" s="13" t="e">
        <f t="shared" si="4"/>
        <v>#N/A</v>
      </c>
      <c r="X8" s="13" t="e">
        <f t="shared" si="4"/>
        <v>#N/A</v>
      </c>
      <c r="Y8" s="11"/>
      <c r="Z8" s="11"/>
      <c r="AA8" s="11"/>
      <c r="AB8" s="11"/>
      <c r="AC8" s="11"/>
    </row>
    <row r="9" spans="1:29" x14ac:dyDescent="0.25">
      <c r="A9" s="2">
        <f t="shared" si="5"/>
        <v>1.5</v>
      </c>
      <c r="B9" s="10">
        <f>GetSatHumRatio(A9,$E$1)*1000</f>
        <v>4.2091191597110251</v>
      </c>
      <c r="C9" s="11">
        <f>GetHumRatioFromRelHum(A9,$C$4,$E$1)*1000</f>
        <v>3.78564524357486</v>
      </c>
      <c r="D9" s="11">
        <f>GetHumRatioFromRelHum($A9,D$4,$E$1)*1000</f>
        <v>3.3627437390909134</v>
      </c>
      <c r="E9" s="11">
        <f>GetHumRatioFromRelHum($A9,E$4,$E$1)*1000</f>
        <v>2.9404134864458271</v>
      </c>
      <c r="F9" s="11">
        <f>GetHumRatioFromRelHum($A9,F$4,$E$1)*1000</f>
        <v>2.5186533289574649</v>
      </c>
      <c r="G9" s="11">
        <f>GetHumRatioFromRelHum($A9,G$4,$E$1)*1000</f>
        <v>2.0974621130643438</v>
      </c>
      <c r="H9" s="11">
        <f>GetHumRatioFromRelHum($A9,H$4,$E$1)*1000</f>
        <v>1.6768386883151254</v>
      </c>
      <c r="I9" s="11">
        <f>GetHumRatioFromRelHum($A9,I$4,$E$1)*1000</f>
        <v>1.2567819073581339</v>
      </c>
      <c r="J9" s="11">
        <f>GetHumRatioFromRelHum($A9,J$4,$E$1)*1000</f>
        <v>0.83729062593093107</v>
      </c>
      <c r="K9" s="11">
        <f>GetHumRatioFromRelHum($A9,K$4,$E$1)*1000</f>
        <v>0.41836370284991997</v>
      </c>
      <c r="L9" s="11">
        <f>IF(GetHumRatioFromEnthalpyAndTDryBulb(L$4*1000,$A9)*1000&lt;=$B9+$J$1,GetHumRatioFromEnthalpyAndTDryBulb(L$4*1000,$A9)*1000)</f>
        <v>3.3912588515810032</v>
      </c>
      <c r="M9" s="11"/>
      <c r="N9" s="11"/>
      <c r="O9" s="11"/>
      <c r="P9" s="11"/>
      <c r="Q9" s="11"/>
      <c r="R9" s="13" t="e">
        <f t="shared" si="6"/>
        <v>#N/A</v>
      </c>
      <c r="S9" s="13" t="e">
        <f t="shared" si="4"/>
        <v>#N/A</v>
      </c>
      <c r="T9" s="13" t="e">
        <f t="shared" si="4"/>
        <v>#N/A</v>
      </c>
      <c r="U9" s="13" t="e">
        <f t="shared" si="4"/>
        <v>#N/A</v>
      </c>
      <c r="V9" s="13" t="e">
        <f t="shared" si="4"/>
        <v>#N/A</v>
      </c>
      <c r="W9" s="13" t="e">
        <f t="shared" si="4"/>
        <v>#N/A</v>
      </c>
      <c r="X9" s="13" t="e">
        <f t="shared" si="4"/>
        <v>#N/A</v>
      </c>
      <c r="Y9" s="11"/>
      <c r="Z9" s="11"/>
      <c r="AA9" s="11"/>
      <c r="AB9" s="11"/>
      <c r="AC9" s="11"/>
    </row>
    <row r="10" spans="1:29" x14ac:dyDescent="0.25">
      <c r="A10" s="2">
        <f t="shared" si="5"/>
        <v>2</v>
      </c>
      <c r="B10" s="10">
        <f>GetSatHumRatio(A10,$E$1)*1000</f>
        <v>4.363635463664969</v>
      </c>
      <c r="C10" s="11">
        <f>GetHumRatioFromRelHum(A10,$C$4,$E$1)*1000</f>
        <v>3.9245184314106347</v>
      </c>
      <c r="D10" s="11">
        <f>GetHumRatioFromRelHum($A10,D$4,$E$1)*1000</f>
        <v>3.486016714543545</v>
      </c>
      <c r="E10" s="11">
        <f>GetHumRatioFromRelHum($A10,E$4,$E$1)*1000</f>
        <v>3.0481290206476119</v>
      </c>
      <c r="F10" s="11">
        <f>GetHumRatioFromRelHum($A10,F$4,$E$1)*1000</f>
        <v>2.6108540609236917</v>
      </c>
      <c r="G10" s="11">
        <f>GetHumRatioFromRelHum($A10,G$4,$E$1)*1000</f>
        <v>2.1741905501769381</v>
      </c>
      <c r="H10" s="11">
        <f>GetHumRatioFromRelHum($A10,H$4,$E$1)*1000</f>
        <v>1.7381372068042154</v>
      </c>
      <c r="I10" s="11">
        <f>GetHumRatioFromRelHum($A10,I$4,$E$1)*1000</f>
        <v>1.3026927527815562</v>
      </c>
      <c r="J10" s="11">
        <f>GetHumRatioFromRelHum($A10,J$4,$E$1)*1000</f>
        <v>0.86785591365167714</v>
      </c>
      <c r="K10" s="11">
        <f>GetHumRatioFromRelHum($A10,K$4,$E$1)*1000</f>
        <v>0.4336254185115464</v>
      </c>
      <c r="L10" s="11">
        <f>IF(GetHumRatioFromEnthalpyAndTDryBulb(L$4*1000,$A10)*1000&lt;=$B10+$J$1,GetHumRatioFromEnthalpyAndTDryBulb(L$4*1000,$A10)*1000)</f>
        <v>3.1891788303682644</v>
      </c>
      <c r="M10" s="11"/>
      <c r="N10" s="11"/>
      <c r="O10" s="11"/>
      <c r="P10" s="11"/>
      <c r="Q10" s="11"/>
      <c r="R10" s="13" t="e">
        <f t="shared" si="6"/>
        <v>#N/A</v>
      </c>
      <c r="S10" s="13" t="e">
        <f t="shared" si="4"/>
        <v>#N/A</v>
      </c>
      <c r="T10" s="13" t="e">
        <f t="shared" si="4"/>
        <v>#N/A</v>
      </c>
      <c r="U10" s="13" t="e">
        <f t="shared" si="4"/>
        <v>#N/A</v>
      </c>
      <c r="V10" s="13" t="e">
        <f t="shared" si="4"/>
        <v>#N/A</v>
      </c>
      <c r="W10" s="13" t="e">
        <f t="shared" si="4"/>
        <v>#N/A</v>
      </c>
      <c r="X10" s="13" t="e">
        <f t="shared" si="4"/>
        <v>#N/A</v>
      </c>
      <c r="Y10" s="11"/>
      <c r="Z10" s="11"/>
      <c r="AA10" s="11"/>
      <c r="AB10" s="11"/>
      <c r="AC10" s="11"/>
    </row>
    <row r="11" spans="1:29" x14ac:dyDescent="0.25">
      <c r="A11" s="2">
        <f t="shared" si="5"/>
        <v>2.5</v>
      </c>
      <c r="B11" s="10">
        <f>GetSatHumRatio(A11,$E$1)*1000</f>
        <v>4.5232001498371579</v>
      </c>
      <c r="C11" s="11">
        <f>GetHumRatioFromRelHum(A11,$C$4,$E$1)*1000</f>
        <v>4.0679216700522938</v>
      </c>
      <c r="D11" s="11">
        <f>GetHumRatioFromRelHum($A11,D$4,$E$1)*1000</f>
        <v>3.6133044463894937</v>
      </c>
      <c r="E11" s="11">
        <f>GetHumRatioFromRelHum($A11,E$4,$E$1)*1000</f>
        <v>3.1593470392605751</v>
      </c>
      <c r="F11" s="11">
        <f>GetHumRatioFromRelHum($A11,F$4,$E$1)*1000</f>
        <v>2.7060480132530653</v>
      </c>
      <c r="G11" s="11">
        <f>GetHumRatioFromRelHum($A11,G$4,$E$1)*1000</f>
        <v>2.2534059371150734</v>
      </c>
      <c r="H11" s="11">
        <f>GetHumRatioFromRelHum($A11,H$4,$E$1)*1000</f>
        <v>1.8014193837402284</v>
      </c>
      <c r="I11" s="11">
        <f>GetHumRatioFromRelHum($A11,I$4,$E$1)*1000</f>
        <v>1.3500869301526817</v>
      </c>
      <c r="J11" s="11">
        <f>GetHumRatioFromRelHum($A11,J$4,$E$1)*1000</f>
        <v>0.89940715749217004</v>
      </c>
      <c r="K11" s="11">
        <f>GetHumRatioFromRelHum($A11,K$4,$E$1)*1000</f>
        <v>0.44937865099915175</v>
      </c>
      <c r="L11" s="11">
        <f>IF(GetHumRatioFromEnthalpyAndTDryBulb(L$4*1000,$A11)*1000&lt;=$B11+$J$1,GetHumRatioFromEnthalpyAndTDryBulb(L$4*1000,$A11)*1000)</f>
        <v>2.9872488176720609</v>
      </c>
      <c r="M11" s="11"/>
      <c r="N11" s="11"/>
      <c r="O11" s="11"/>
      <c r="P11" s="11"/>
      <c r="Q11" s="11"/>
      <c r="R11" s="13" t="e">
        <f t="shared" si="6"/>
        <v>#N/A</v>
      </c>
      <c r="S11" s="13" t="e">
        <f t="shared" si="4"/>
        <v>#N/A</v>
      </c>
      <c r="T11" s="13" t="e">
        <f t="shared" si="4"/>
        <v>#N/A</v>
      </c>
      <c r="U11" s="13" t="e">
        <f t="shared" si="4"/>
        <v>#N/A</v>
      </c>
      <c r="V11" s="13" t="e">
        <f t="shared" si="4"/>
        <v>#N/A</v>
      </c>
      <c r="W11" s="13" t="e">
        <f t="shared" si="4"/>
        <v>#N/A</v>
      </c>
      <c r="X11" s="13" t="e">
        <f t="shared" si="4"/>
        <v>#N/A</v>
      </c>
      <c r="Y11" s="11"/>
      <c r="Z11" s="11"/>
      <c r="AA11" s="11"/>
      <c r="AB11" s="11"/>
      <c r="AC11" s="11"/>
    </row>
    <row r="12" spans="1:29" x14ac:dyDescent="0.25">
      <c r="A12" s="2">
        <f t="shared" si="5"/>
        <v>3</v>
      </c>
      <c r="B12" s="10">
        <f>GetSatHumRatio(A12,$E$1)*1000</f>
        <v>4.6879579206619875</v>
      </c>
      <c r="C12" s="11">
        <f>GetHumRatioFromRelHum(A12,$C$4,$E$1)*1000</f>
        <v>4.2159842982435327</v>
      </c>
      <c r="D12" s="11">
        <f>GetHumRatioFromRelHum($A12,D$4,$E$1)*1000</f>
        <v>3.7447211122737616</v>
      </c>
      <c r="E12" s="11">
        <f>GetHumRatioFromRelHum($A12,E$4,$E$1)*1000</f>
        <v>3.2741667598865014</v>
      </c>
      <c r="F12" s="11">
        <f>GetHumRatioFromRelHum($A12,F$4,$E$1)*1000</f>
        <v>2.8043196430337423</v>
      </c>
      <c r="G12" s="11">
        <f>GetHumRatioFromRelHum($A12,G$4,$E$1)*1000</f>
        <v>2.3351781684675457</v>
      </c>
      <c r="H12" s="11">
        <f>GetHumRatioFromRelHum($A12,H$4,$E$1)*1000</f>
        <v>1.8667407477220399</v>
      </c>
      <c r="I12" s="11">
        <f>GetHumRatioFromRelHum($A12,I$4,$E$1)*1000</f>
        <v>1.3990057970954888</v>
      </c>
      <c r="J12" s="11">
        <f>GetHumRatioFromRelHum($A12,J$4,$E$1)*1000</f>
        <v>0.93197173763244368</v>
      </c>
      <c r="K12" s="11">
        <f>GetHumRatioFromRelHum($A12,K$4,$E$1)*1000</f>
        <v>0.46563699510597828</v>
      </c>
      <c r="L12" s="11">
        <f>IF(GetHumRatioFromEnthalpyAndTDryBulb(L$4*1000,$A12)*1000&lt;=$B12+$J$1,GetHumRatioFromEnthalpyAndTDryBulb(L$4*1000,$A12)*1000)</f>
        <v>2.7854686465223533</v>
      </c>
      <c r="M12" s="11"/>
      <c r="N12" s="11"/>
      <c r="O12" s="11"/>
      <c r="P12" s="11"/>
      <c r="Q12" s="11"/>
      <c r="R12" s="13" t="e">
        <f t="shared" si="6"/>
        <v>#N/A</v>
      </c>
      <c r="S12" s="13" t="e">
        <f t="shared" si="4"/>
        <v>#N/A</v>
      </c>
      <c r="T12" s="13" t="e">
        <f t="shared" si="4"/>
        <v>#N/A</v>
      </c>
      <c r="U12" s="13" t="e">
        <f t="shared" si="4"/>
        <v>#N/A</v>
      </c>
      <c r="V12" s="13" t="e">
        <f t="shared" si="4"/>
        <v>#N/A</v>
      </c>
      <c r="W12" s="13" t="e">
        <f t="shared" si="4"/>
        <v>#N/A</v>
      </c>
      <c r="X12" s="13" t="e">
        <f t="shared" si="4"/>
        <v>#N/A</v>
      </c>
      <c r="Y12" s="11"/>
      <c r="Z12" s="11"/>
      <c r="AA12" s="11"/>
      <c r="AB12" s="11"/>
      <c r="AC12" s="11"/>
    </row>
    <row r="13" spans="1:29" x14ac:dyDescent="0.25">
      <c r="A13" s="2">
        <f t="shared" si="5"/>
        <v>3.5</v>
      </c>
      <c r="B13" s="10">
        <f>GetSatHumRatio(A13,$E$1)*1000</f>
        <v>4.858057105261139</v>
      </c>
      <c r="C13" s="11">
        <f>GetHumRatioFromRelHum(A13,$C$4,$E$1)*1000</f>
        <v>4.3688388632922841</v>
      </c>
      <c r="D13" s="11">
        <f>GetHumRatioFromRelHum($A13,D$4,$E$1)*1000</f>
        <v>3.8803836930132327</v>
      </c>
      <c r="E13" s="11">
        <f>GetHumRatioFromRelHum($A13,E$4,$E$1)*1000</f>
        <v>3.3926898104819876</v>
      </c>
      <c r="F13" s="11">
        <f>GetHumRatioFromRelHum($A13,F$4,$E$1)*1000</f>
        <v>2.9057554373129899</v>
      </c>
      <c r="G13" s="11">
        <f>GetHumRatioFromRelHum($A13,G$4,$E$1)*1000</f>
        <v>2.4195788006555046</v>
      </c>
      <c r="H13" s="11">
        <f>GetHumRatioFromRelHum($A13,H$4,$E$1)*1000</f>
        <v>1.9341581331721012</v>
      </c>
      <c r="I13" s="11">
        <f>GetHumRatioFromRelHum($A13,I$4,$E$1)*1000</f>
        <v>1.4494916730172425</v>
      </c>
      <c r="J13" s="11">
        <f>GetHumRatioFromRelHum($A13,J$4,$E$1)*1000</f>
        <v>0.96557766381596732</v>
      </c>
      <c r="K13" s="11">
        <f>GetHumRatioFromRelHum($A13,K$4,$E$1)*1000</f>
        <v>0.48241435464267307</v>
      </c>
      <c r="L13" s="11">
        <f>IF(GetHumRatioFromEnthalpyAndTDryBulb(L$4*1000,$A13)*1000&lt;=$B13+$J$1,GetHumRatioFromEnthalpyAndTDryBulb(L$4*1000,$A13)*1000)</f>
        <v>2.5838381501968088</v>
      </c>
      <c r="M13" s="11"/>
      <c r="N13" s="11"/>
      <c r="O13" s="11"/>
      <c r="P13" s="11"/>
      <c r="Q13" s="11"/>
      <c r="R13" s="13" t="e">
        <f t="shared" si="6"/>
        <v>#N/A</v>
      </c>
      <c r="S13" s="13" t="e">
        <f t="shared" si="4"/>
        <v>#N/A</v>
      </c>
      <c r="T13" s="13" t="e">
        <f t="shared" si="4"/>
        <v>#N/A</v>
      </c>
      <c r="U13" s="13" t="e">
        <f t="shared" si="4"/>
        <v>#N/A</v>
      </c>
      <c r="V13" s="13" t="e">
        <f t="shared" si="4"/>
        <v>#N/A</v>
      </c>
      <c r="W13" s="13" t="e">
        <f t="shared" si="4"/>
        <v>#N/A</v>
      </c>
      <c r="X13" s="13" t="e">
        <f t="shared" si="4"/>
        <v>#N/A</v>
      </c>
      <c r="Y13" s="11">
        <f>IF(GetHumRatioFromVapPres(Y$4*1000,$E$1)&lt;GetSatHumRatio($A13,$E$1)+$J$1/1000,GetHumRatioFromVapPres(Y$4*1000,$E$1)*1000)</f>
        <v>6.199302267630201</v>
      </c>
      <c r="Z13" s="11"/>
      <c r="AA13" s="11"/>
      <c r="AB13" s="11"/>
      <c r="AC13" s="11"/>
    </row>
    <row r="14" spans="1:29" x14ac:dyDescent="0.25">
      <c r="A14" s="2">
        <f t="shared" si="5"/>
        <v>4</v>
      </c>
      <c r="B14" s="10">
        <f>GetSatHumRatio(A14,$E$1)*1000</f>
        <v>5.0336497433405238</v>
      </c>
      <c r="C14" s="11">
        <f>GetHumRatioFromRelHum(A14,$C$4,$E$1)*1000</f>
        <v>4.52662119335137</v>
      </c>
      <c r="D14" s="11">
        <f>GetHumRatioFromRelHum($A14,D$4,$E$1)*1000</f>
        <v>4.0204120340173279</v>
      </c>
      <c r="E14" s="11">
        <f>GetHumRatioFromRelHum($A14,E$4,$E$1)*1000</f>
        <v>3.5150202806603001</v>
      </c>
      <c r="F14" s="11">
        <f>GetHumRatioFromRelHum($A14,F$4,$E$1)*1000</f>
        <v>3.0104439550065827</v>
      </c>
      <c r="G14" s="11">
        <f>GetHumRatioFromRelHum($A14,G$4,$E$1)*1000</f>
        <v>2.5066810851610386</v>
      </c>
      <c r="H14" s="11">
        <f>GetHumRatioFromRelHum($A14,H$4,$E$1)*1000</f>
        <v>2.0037297055814176</v>
      </c>
      <c r="I14" s="11">
        <f>GetHumRatioFromRelHum($A14,I$4,$E$1)*1000</f>
        <v>1.5015878570527887</v>
      </c>
      <c r="J14" s="11">
        <f>GetHumRatioFromRelHum($A14,J$4,$E$1)*1000</f>
        <v>1.000253586662105</v>
      </c>
      <c r="K14" s="11">
        <f>GetHumRatioFromRelHum($A14,K$4,$E$1)*1000</f>
        <v>0.49972494777288057</v>
      </c>
      <c r="L14" s="11">
        <f>IF(GetHumRatioFromEnthalpyAndTDryBulb(L$4*1000,$A14)*1000&lt;=$B14+$J$1,GetHumRatioFromEnthalpyAndTDryBulb(L$4*1000,$A14)*1000)</f>
        <v>2.3823571622203441</v>
      </c>
      <c r="M14" s="11"/>
      <c r="N14" s="11"/>
      <c r="O14" s="11"/>
      <c r="P14" s="11"/>
      <c r="Q14" s="11"/>
      <c r="R14" s="13" t="e">
        <f t="shared" si="6"/>
        <v>#N/A</v>
      </c>
      <c r="S14" s="13" t="e">
        <f t="shared" si="4"/>
        <v>#N/A</v>
      </c>
      <c r="T14" s="13" t="e">
        <f t="shared" si="4"/>
        <v>#N/A</v>
      </c>
      <c r="U14" s="13" t="e">
        <f t="shared" si="4"/>
        <v>#N/A</v>
      </c>
      <c r="V14" s="13" t="e">
        <f t="shared" si="4"/>
        <v>#N/A</v>
      </c>
      <c r="W14" s="13" t="e">
        <f t="shared" si="4"/>
        <v>#N/A</v>
      </c>
      <c r="X14" s="13" t="e">
        <f t="shared" si="4"/>
        <v>#N/A</v>
      </c>
      <c r="Y14" s="11">
        <f>IF(GetHumRatioFromVapPres(Y$4*1000,$E$1)&lt;GetSatHumRatio($A14,$E$1)+$J$1/1000,GetHumRatioFromVapPres(Y$4*1000,$E$1)*1000)</f>
        <v>6.199302267630201</v>
      </c>
      <c r="Z14" s="11"/>
      <c r="AA14" s="11"/>
      <c r="AB14" s="11"/>
      <c r="AC14" s="11"/>
    </row>
    <row r="15" spans="1:29" x14ac:dyDescent="0.25">
      <c r="A15" s="2">
        <f t="shared" si="5"/>
        <v>4.5</v>
      </c>
      <c r="B15" s="10">
        <f>GetSatHumRatio(A15,$E$1)*1000</f>
        <v>5.2148916712973863</v>
      </c>
      <c r="C15" s="11">
        <f>GetHumRatioFromRelHum(A15,$C$4,$E$1)*1000</f>
        <v>4.6894704715112736</v>
      </c>
      <c r="D15" s="11">
        <f>GetHumRatioFromRelHum($A15,D$4,$E$1)*1000</f>
        <v>4.1649289081656642</v>
      </c>
      <c r="E15" s="11">
        <f>GetHumRatioFromRelHum($A15,E$4,$E$1)*1000</f>
        <v>3.6412647741366948</v>
      </c>
      <c r="F15" s="11">
        <f>GetHumRatioFromRelHum($A15,F$4,$E$1)*1000</f>
        <v>3.1184758696782842</v>
      </c>
      <c r="G15" s="11">
        <f>GetHumRatioFromRelHum($A15,G$4,$E$1)*1000</f>
        <v>2.5965600023913349</v>
      </c>
      <c r="H15" s="11">
        <f>GetHumRatioFromRelHum($A15,H$4,$E$1)*1000</f>
        <v>2.0755149871930816</v>
      </c>
      <c r="I15" s="11">
        <f>GetHumRatioFromRelHum($A15,I$4,$E$1)*1000</f>
        <v>1.555338646286599</v>
      </c>
      <c r="J15" s="11">
        <f>GetHumRatioFromRelHum($A15,J$4,$E$1)*1000</f>
        <v>1.0360288091304592</v>
      </c>
      <c r="K15" s="11">
        <f>GetHumRatioFromRelHum($A15,K$4,$E$1)*1000</f>
        <v>0.51758331240854349</v>
      </c>
      <c r="L15" s="11">
        <f>IF(GetHumRatioFromEnthalpyAndTDryBulb(L$4*1000,$A15)*1000&lt;=$B15+$J$1,GetHumRatioFromEnthalpyAndTDryBulb(L$4*1000,$A15)*1000)</f>
        <v>2.1810255163646652</v>
      </c>
      <c r="M15" s="11"/>
      <c r="N15" s="11"/>
      <c r="O15" s="11"/>
      <c r="P15" s="11"/>
      <c r="Q15" s="11"/>
      <c r="R15" s="13" t="e">
        <f t="shared" si="6"/>
        <v>#N/A</v>
      </c>
      <c r="S15" s="13" t="e">
        <f t="shared" si="4"/>
        <v>#N/A</v>
      </c>
      <c r="T15" s="13" t="e">
        <f t="shared" si="4"/>
        <v>#N/A</v>
      </c>
      <c r="U15" s="13" t="e">
        <f t="shared" si="4"/>
        <v>#N/A</v>
      </c>
      <c r="V15" s="13" t="e">
        <f t="shared" si="4"/>
        <v>#N/A</v>
      </c>
      <c r="W15" s="13" t="e">
        <f t="shared" si="4"/>
        <v>#N/A</v>
      </c>
      <c r="X15" s="13" t="e">
        <f t="shared" si="4"/>
        <v>#N/A</v>
      </c>
      <c r="Y15" s="11">
        <f>IF(GetHumRatioFromVapPres(Y$4*1000,$E$1)&lt;GetSatHumRatio($A15,$E$1)+$J$1/1000,GetHumRatioFromVapPres(Y$4*1000,$E$1)*1000)</f>
        <v>6.199302267630201</v>
      </c>
      <c r="Z15" s="11"/>
      <c r="AA15" s="11"/>
      <c r="AB15" s="11"/>
      <c r="AC15" s="11"/>
    </row>
    <row r="16" spans="1:29" x14ac:dyDescent="0.25">
      <c r="A16" s="2">
        <f t="shared" si="5"/>
        <v>5</v>
      </c>
      <c r="B16" s="10">
        <f>GetSatHumRatio(A16,$E$1)*1000</f>
        <v>5.401942610620365</v>
      </c>
      <c r="C16" s="11">
        <f>GetHumRatioFromRelHum(A16,$C$4,$E$1)*1000</f>
        <v>4.8575293117701657</v>
      </c>
      <c r="D16" s="11">
        <f>GetHumRatioFromRelHum($A16,D$4,$E$1)*1000</f>
        <v>4.3140600801926743</v>
      </c>
      <c r="E16" s="11">
        <f>GetHumRatioFromRelHum($A16,E$4,$E$1)*1000</f>
        <v>3.7715324623541941</v>
      </c>
      <c r="F16" s="11">
        <f>GetHumRatioFromRelHum($A16,F$4,$E$1)*1000</f>
        <v>3.2299440132156483</v>
      </c>
      <c r="G16" s="11">
        <f>GetHumRatioFromRelHum($A16,G$4,$E$1)*1000</f>
        <v>2.6892922961958452</v>
      </c>
      <c r="H16" s="11">
        <f>GetHumRatioFromRelHum($A16,H$4,$E$1)*1000</f>
        <v>2.1495748831349362</v>
      </c>
      <c r="I16" s="11">
        <f>GetHumRatioFromRelHum($A16,I$4,$E$1)*1000</f>
        <v>1.6107893542580687</v>
      </c>
      <c r="J16" s="11">
        <f>GetHumRatioFromRelHum($A16,J$4,$E$1)*1000</f>
        <v>1.0729332981392232</v>
      </c>
      <c r="K16" s="11">
        <f>GetHumRatioFromRelHum($A16,K$4,$E$1)*1000</f>
        <v>0.53600431166523366</v>
      </c>
      <c r="L16" s="11">
        <f>IF(GetHumRatioFromEnthalpyAndTDryBulb(L$4*1000,$A16)*1000&lt;=$B16+$J$1,GetHumRatioFromEnthalpyAndTDryBulb(L$4*1000,$A16)*1000)</f>
        <v>1.9798430466478107</v>
      </c>
      <c r="M16" s="11"/>
      <c r="N16" s="11"/>
      <c r="O16" s="11"/>
      <c r="P16" s="11"/>
      <c r="Q16" s="11"/>
      <c r="R16" s="13">
        <f t="shared" si="6"/>
        <v>5.4019426106203641</v>
      </c>
      <c r="S16" s="13" t="e">
        <f t="shared" si="4"/>
        <v>#N/A</v>
      </c>
      <c r="T16" s="13" t="e">
        <f t="shared" si="4"/>
        <v>#N/A</v>
      </c>
      <c r="U16" s="13" t="e">
        <f t="shared" si="4"/>
        <v>#N/A</v>
      </c>
      <c r="V16" s="13" t="e">
        <f t="shared" si="4"/>
        <v>#N/A</v>
      </c>
      <c r="W16" s="13" t="e">
        <f t="shared" si="4"/>
        <v>#N/A</v>
      </c>
      <c r="X16" s="13" t="e">
        <f t="shared" si="4"/>
        <v>#N/A</v>
      </c>
      <c r="Y16" s="11">
        <f>IF(GetHumRatioFromVapPres(Y$4*1000,$E$1)&lt;GetSatHumRatio($A16,$E$1)+$J$1/1000,GetHumRatioFromVapPres(Y$4*1000,$E$1)*1000)</f>
        <v>6.199302267630201</v>
      </c>
      <c r="Z16" s="11"/>
      <c r="AA16" s="11"/>
      <c r="AB16" s="11"/>
      <c r="AC16" s="11"/>
    </row>
    <row r="17" spans="1:29" x14ac:dyDescent="0.25">
      <c r="A17" s="2">
        <f t="shared" si="5"/>
        <v>5.5</v>
      </c>
      <c r="B17" s="10">
        <f>GetSatHumRatio(A17,$E$1)*1000</f>
        <v>5.5949662586693272</v>
      </c>
      <c r="C17" s="11">
        <f>GetHumRatioFromRelHum(A17,$C$4,$E$1)*1000</f>
        <v>5.0309438369495467</v>
      </c>
      <c r="D17" s="11">
        <f>GetHumRatioFromRelHum($A17,D$4,$E$1)*1000</f>
        <v>4.4679343726315208</v>
      </c>
      <c r="E17" s="11">
        <f>GetHumRatioFromRelHum($A17,E$4,$E$1)*1000</f>
        <v>3.9059351393286188</v>
      </c>
      <c r="F17" s="11">
        <f>GetHumRatioFromRelHum($A17,F$4,$E$1)*1000</f>
        <v>3.3449434204295754</v>
      </c>
      <c r="G17" s="11">
        <f>GetHumRatioFromRelHum($A17,G$4,$E$1)*1000</f>
        <v>2.7849565090547173</v>
      </c>
      <c r="H17" s="11">
        <f>GetHumRatioFromRelHum($A17,H$4,$E$1)*1000</f>
        <v>2.2259717080124268</v>
      </c>
      <c r="I17" s="11">
        <f>GetHumRatioFromRelHum($A17,I$4,$E$1)*1000</f>
        <v>1.6679863297558377</v>
      </c>
      <c r="J17" s="11">
        <f>GetHumRatioFromRelHum($A17,J$4,$E$1)*1000</f>
        <v>1.1109976963397643</v>
      </c>
      <c r="K17" s="11">
        <f>GetHumRatioFromRelHum($A17,K$4,$E$1)*1000</f>
        <v>0.55500313937785861</v>
      </c>
      <c r="L17" s="11">
        <f>IF(GetHumRatioFromEnthalpyAndTDryBulb(L$4*1000,$A17)*1000&lt;=$B17+$J$1,GetHumRatioFromEnthalpyAndTDryBulb(L$4*1000,$A17)*1000)</f>
        <v>1.7788095873336969</v>
      </c>
      <c r="M17" s="11"/>
      <c r="N17" s="11"/>
      <c r="O17" s="11"/>
      <c r="P17" s="11"/>
      <c r="Q17" s="11"/>
      <c r="R17" s="13">
        <f t="shared" si="6"/>
        <v>5.1979415639079702</v>
      </c>
      <c r="S17" s="13" t="e">
        <f t="shared" si="4"/>
        <v>#N/A</v>
      </c>
      <c r="T17" s="13" t="e">
        <f t="shared" si="4"/>
        <v>#N/A</v>
      </c>
      <c r="U17" s="13" t="e">
        <f t="shared" si="4"/>
        <v>#N/A</v>
      </c>
      <c r="V17" s="13" t="e">
        <f t="shared" si="4"/>
        <v>#N/A</v>
      </c>
      <c r="W17" s="13" t="e">
        <f t="shared" si="4"/>
        <v>#N/A</v>
      </c>
      <c r="X17" s="13" t="e">
        <f t="shared" si="4"/>
        <v>#N/A</v>
      </c>
      <c r="Y17" s="11">
        <f>IF(GetHumRatioFromVapPres(Y$4*1000,$E$1)&lt;GetSatHumRatio($A17,$E$1)+$J$1/1000,GetHumRatioFromVapPres(Y$4*1000,$E$1)*1000)</f>
        <v>6.199302267630201</v>
      </c>
      <c r="Z17" s="11"/>
      <c r="AA17" s="11"/>
      <c r="AB17" s="11"/>
      <c r="AC17" s="11"/>
    </row>
    <row r="18" spans="1:29" x14ac:dyDescent="0.25">
      <c r="A18" s="2">
        <f t="shared" si="5"/>
        <v>6</v>
      </c>
      <c r="B18" s="10">
        <f>GetSatHumRatio(A18,$E$1)*1000</f>
        <v>5.7941303819273706</v>
      </c>
      <c r="C18" s="11">
        <f>GetHumRatioFromRelHum(A18,$C$4,$E$1)*1000</f>
        <v>5.2098637586283019</v>
      </c>
      <c r="D18" s="11">
        <f>GetHumRatioFromRelHum($A18,D$4,$E$1)*1000</f>
        <v>4.6266837333732616</v>
      </c>
      <c r="E18" s="11">
        <f>GetHumRatioFromRelHum($A18,E$4,$E$1)*1000</f>
        <v>4.044587277754391</v>
      </c>
      <c r="F18" s="11">
        <f>GetHumRatioFromRelHum($A18,F$4,$E$1)*1000</f>
        <v>3.463571374607171</v>
      </c>
      <c r="G18" s="11">
        <f>GetHumRatioFromRelHum($A18,G$4,$E$1)*1000</f>
        <v>2.8836330179582896</v>
      </c>
      <c r="H18" s="11">
        <f>GetHumRatioFromRelHum($A18,H$4,$E$1)*1000</f>
        <v>2.304769212973806</v>
      </c>
      <c r="I18" s="11">
        <f>GetHumRatioFromRelHum($A18,I$4,$E$1)*1000</f>
        <v>1.7269769759075946</v>
      </c>
      <c r="J18" s="11">
        <f>GetHumRatioFromRelHum($A18,J$4,$E$1)*1000</f>
        <v>1.1502533340500807</v>
      </c>
      <c r="K18" s="11">
        <f>GetHumRatioFromRelHum($A18,K$4,$E$1)*1000</f>
        <v>0.57459532567726046</v>
      </c>
      <c r="L18" s="11">
        <f>IF(GetHumRatioFromEnthalpyAndTDryBulb(L$4*1000,$A18)*1000&lt;=$B18+$J$1,GetHumRatioFromEnthalpyAndTDryBulb(L$4*1000,$A18)*1000)</f>
        <v>1.5779249729316607</v>
      </c>
      <c r="M18" s="11"/>
      <c r="N18" s="11"/>
      <c r="O18" s="11"/>
      <c r="P18" s="11"/>
      <c r="Q18" s="11"/>
      <c r="R18" s="13">
        <f t="shared" si="6"/>
        <v>4.9940928282816186</v>
      </c>
      <c r="S18" s="13" t="e">
        <f t="shared" si="4"/>
        <v>#N/A</v>
      </c>
      <c r="T18" s="13" t="e">
        <f t="shared" si="4"/>
        <v>#N/A</v>
      </c>
      <c r="U18" s="13" t="e">
        <f t="shared" si="4"/>
        <v>#N/A</v>
      </c>
      <c r="V18" s="13" t="e">
        <f t="shared" si="4"/>
        <v>#N/A</v>
      </c>
      <c r="W18" s="13" t="e">
        <f t="shared" si="4"/>
        <v>#N/A</v>
      </c>
      <c r="X18" s="13" t="e">
        <f t="shared" si="4"/>
        <v>#N/A</v>
      </c>
      <c r="Y18" s="11">
        <f>IF(GetHumRatioFromVapPres(Y$4*1000,$E$1)&lt;GetSatHumRatio($A18,$E$1)+$J$1/1000,GetHumRatioFromVapPres(Y$4*1000,$E$1)*1000)</f>
        <v>6.199302267630201</v>
      </c>
      <c r="Z18" s="11"/>
      <c r="AA18" s="11"/>
      <c r="AB18" s="11"/>
      <c r="AC18" s="11"/>
    </row>
    <row r="19" spans="1:29" x14ac:dyDescent="0.25">
      <c r="A19" s="2">
        <f t="shared" si="5"/>
        <v>6.5</v>
      </c>
      <c r="B19" s="10">
        <f>GetSatHumRatio(A19,$E$1)*1000</f>
        <v>5.9996069118198205</v>
      </c>
      <c r="C19" s="11">
        <f>GetHumRatioFromRelHum(A19,$C$4,$E$1)*1000</f>
        <v>5.3944424591696301</v>
      </c>
      <c r="D19" s="11">
        <f>GetHumRatioFromRelHum($A19,D$4,$E$1)*1000</f>
        <v>4.7904433048981394</v>
      </c>
      <c r="E19" s="11">
        <f>GetHumRatioFromRelHum($A19,E$4,$E$1)*1000</f>
        <v>4.1876060864131688</v>
      </c>
      <c r="F19" s="11">
        <f>GetHumRatioFromRelHum($A19,F$4,$E$1)*1000</f>
        <v>3.5859274540475949</v>
      </c>
      <c r="G19" s="11">
        <f>GetHumRatioFromRelHum($A19,G$4,$E$1)*1000</f>
        <v>2.9854040709973138</v>
      </c>
      <c r="H19" s="11">
        <f>GetHumRatioFromRelHum($A19,H$4,$E$1)*1000</f>
        <v>2.3860326132595455</v>
      </c>
      <c r="I19" s="11">
        <f>GetHumRatioFromRelHum($A19,I$4,$E$1)*1000</f>
        <v>1.7878097695715143</v>
      </c>
      <c r="J19" s="11">
        <f>GetHumRatioFromRelHum($A19,J$4,$E$1)*1000</f>
        <v>1.1907322413494668</v>
      </c>
      <c r="K19" s="11">
        <f>GetHumRatioFromRelHum($A19,K$4,$E$1)*1000</f>
        <v>0.59479674262804383</v>
      </c>
      <c r="L19" s="11">
        <f>IF(GetHumRatioFromEnthalpyAndTDryBulb(L$4*1000,$A19)*1000&lt;=$B19+$J$1,GetHumRatioFromEnthalpyAndTDryBulb(L$4*1000,$A19)*1000)</f>
        <v>1.3771890381960059</v>
      </c>
      <c r="M19" s="11"/>
      <c r="N19" s="11"/>
      <c r="O19" s="11"/>
      <c r="P19" s="11"/>
      <c r="Q19" s="11"/>
      <c r="R19" s="13">
        <f t="shared" si="6"/>
        <v>4.7903962332274075</v>
      </c>
      <c r="S19" s="13" t="e">
        <f t="shared" si="4"/>
        <v>#N/A</v>
      </c>
      <c r="T19" s="13" t="e">
        <f t="shared" si="4"/>
        <v>#N/A</v>
      </c>
      <c r="U19" s="13" t="e">
        <f t="shared" si="4"/>
        <v>#N/A</v>
      </c>
      <c r="V19" s="13" t="e">
        <f t="shared" si="4"/>
        <v>#N/A</v>
      </c>
      <c r="W19" s="13" t="e">
        <f t="shared" si="4"/>
        <v>#N/A</v>
      </c>
      <c r="X19" s="13" t="e">
        <f t="shared" si="4"/>
        <v>#N/A</v>
      </c>
      <c r="Y19" s="11">
        <f>IF(GetHumRatioFromVapPres(Y$4*1000,$E$1)&lt;GetSatHumRatio($A19,$E$1)+$J$1/1000,GetHumRatioFromVapPres(Y$4*1000,$E$1)*1000)</f>
        <v>6.199302267630201</v>
      </c>
      <c r="Z19" s="11"/>
      <c r="AA19" s="11"/>
      <c r="AB19" s="11"/>
      <c r="AC19" s="11"/>
    </row>
    <row r="20" spans="1:29" x14ac:dyDescent="0.25">
      <c r="A20" s="2">
        <f t="shared" si="5"/>
        <v>7</v>
      </c>
      <c r="B20" s="10">
        <f>GetSatHumRatio(A20,$E$1)*1000</f>
        <v>6.2115720432011914</v>
      </c>
      <c r="C20" s="11">
        <f>GetHumRatioFromRelHum(A20,$C$4,$E$1)*1000</f>
        <v>5.5848370759202606</v>
      </c>
      <c r="D20" s="11">
        <f>GetHumRatioFromRelHum($A20,D$4,$E$1)*1000</f>
        <v>4.9593514952398747</v>
      </c>
      <c r="E20" s="11">
        <f>GetHumRatioFromRelHum($A20,E$4,$E$1)*1000</f>
        <v>4.3351115689304001</v>
      </c>
      <c r="F20" s="11">
        <f>GetHumRatioFromRelHum($A20,F$4,$E$1)*1000</f>
        <v>3.7121135796128835</v>
      </c>
      <c r="G20" s="11">
        <f>GetHumRatioFromRelHum($A20,G$4,$E$1)*1000</f>
        <v>3.0903538246852613</v>
      </c>
      <c r="H20" s="11">
        <f>GetHumRatioFromRelHum($A20,H$4,$E$1)*1000</f>
        <v>2.469828616249012</v>
      </c>
      <c r="I20" s="11">
        <f>GetHumRatioFromRelHum($A20,I$4,$E$1)*1000</f>
        <v>1.8505342810362337</v>
      </c>
      <c r="J20" s="11">
        <f>GetHumRatioFromRelHum($A20,J$4,$E$1)*1000</f>
        <v>1.2324671603371709</v>
      </c>
      <c r="K20" s="11">
        <f>GetHumRatioFromRelHum($A20,K$4,$E$1)*1000</f>
        <v>0.61562360992815857</v>
      </c>
      <c r="L20" s="11">
        <f>IF(GetHumRatioFromEnthalpyAndTDryBulb(L$4*1000,$A20)*1000&lt;=$B20+$J$1,GetHumRatioFromEnthalpyAndTDryBulb(L$4*1000,$A20)*1000)</f>
        <v>1.1766016181255521</v>
      </c>
      <c r="M20" s="11"/>
      <c r="N20" s="11"/>
      <c r="O20" s="11"/>
      <c r="P20" s="11"/>
      <c r="Q20" s="11"/>
      <c r="R20" s="13">
        <f t="shared" si="6"/>
        <v>4.5868516084858619</v>
      </c>
      <c r="S20" s="13" t="e">
        <f t="shared" si="4"/>
        <v>#N/A</v>
      </c>
      <c r="T20" s="13" t="e">
        <f t="shared" si="4"/>
        <v>#N/A</v>
      </c>
      <c r="U20" s="13" t="e">
        <f t="shared" si="4"/>
        <v>#N/A</v>
      </c>
      <c r="V20" s="13" t="e">
        <f t="shared" si="4"/>
        <v>#N/A</v>
      </c>
      <c r="W20" s="13" t="e">
        <f t="shared" si="4"/>
        <v>#N/A</v>
      </c>
      <c r="X20" s="13" t="e">
        <f t="shared" si="4"/>
        <v>#N/A</v>
      </c>
      <c r="Y20" s="11">
        <f>IF(GetHumRatioFromVapPres(Y$4*1000,$E$1)&lt;GetSatHumRatio($A20,$E$1)+$J$1/1000,GetHumRatioFromVapPres(Y$4*1000,$E$1)*1000)</f>
        <v>6.199302267630201</v>
      </c>
      <c r="Z20" s="11"/>
      <c r="AA20" s="11"/>
      <c r="AB20" s="11"/>
      <c r="AC20" s="11"/>
    </row>
    <row r="21" spans="1:29" x14ac:dyDescent="0.25">
      <c r="A21" s="2">
        <f t="shared" si="5"/>
        <v>7.5</v>
      </c>
      <c r="B21" s="10">
        <f>GetSatHumRatio(A21,$E$1)*1000</f>
        <v>6.4302063356136605</v>
      </c>
      <c r="C21" s="11">
        <f>GetHumRatioFromRelHum(A21,$C$4,$E$1)*1000</f>
        <v>5.7812085876630972</v>
      </c>
      <c r="D21" s="11">
        <f>GetHumRatioFromRelHum($A21,D$4,$E$1)*1000</f>
        <v>5.1335500507448302</v>
      </c>
      <c r="E21" s="11">
        <f>GetHumRatioFromRelHum($A21,E$4,$E$1)*1000</f>
        <v>4.4872265839253949</v>
      </c>
      <c r="F21" s="11">
        <f>GetHumRatioFromRelHum($A21,F$4,$E$1)*1000</f>
        <v>3.8422340633258245</v>
      </c>
      <c r="G21" s="11">
        <f>GetHumRatioFromRelHum($A21,G$4,$E$1)*1000</f>
        <v>3.1985683820339346</v>
      </c>
      <c r="H21" s="11">
        <f>GetHumRatioFromRelHum($A21,H$4,$E$1)*1000</f>
        <v>2.5562254500171582</v>
      </c>
      <c r="I21" s="11">
        <f>GetHumRatioFromRelHum($A21,I$4,$E$1)*1000</f>
        <v>1.9152011940359137</v>
      </c>
      <c r="J21" s="11">
        <f>GetHumRatioFromRelHum($A21,J$4,$E$1)*1000</f>
        <v>1.2754915575575096</v>
      </c>
      <c r="K21" s="11">
        <f>GetHumRatioFromRelHum($A21,K$4,$E$1)*1000</f>
        <v>0.63709250067057122</v>
      </c>
      <c r="L21" s="11">
        <f>IF(GetHumRatioFromEnthalpyAndTDryBulb(L$4*1000,$A21)*1000&lt;=$B21+$J$1,GetHumRatioFromEnthalpyAndTDryBulb(L$4*1000,$A21)*1000)</f>
        <v>0.97616254796318025</v>
      </c>
      <c r="M21" s="11"/>
      <c r="N21" s="11"/>
      <c r="O21" s="11"/>
      <c r="P21" s="11"/>
      <c r="Q21" s="11"/>
      <c r="R21" s="13">
        <f t="shared" si="6"/>
        <v>4.3834587840514585</v>
      </c>
      <c r="S21" s="13" t="e">
        <f t="shared" si="4"/>
        <v>#N/A</v>
      </c>
      <c r="T21" s="13" t="e">
        <f t="shared" si="4"/>
        <v>#N/A</v>
      </c>
      <c r="U21" s="13" t="e">
        <f t="shared" si="4"/>
        <v>#N/A</v>
      </c>
      <c r="V21" s="13" t="e">
        <f t="shared" si="4"/>
        <v>#N/A</v>
      </c>
      <c r="W21" s="13" t="e">
        <f t="shared" si="4"/>
        <v>#N/A</v>
      </c>
      <c r="X21" s="13" t="e">
        <f t="shared" si="4"/>
        <v>#N/A</v>
      </c>
      <c r="Y21" s="11">
        <f>IF(GetHumRatioFromVapPres(Y$4*1000,$E$1)&lt;GetSatHumRatio($A21,$E$1)+$J$1/1000,GetHumRatioFromVapPres(Y$4*1000,$E$1)*1000)</f>
        <v>6.199302267630201</v>
      </c>
      <c r="Z21" s="11"/>
      <c r="AA21" s="11"/>
      <c r="AB21" s="11"/>
      <c r="AC21" s="11"/>
    </row>
    <row r="22" spans="1:29" x14ac:dyDescent="0.25">
      <c r="A22" s="2">
        <f t="shared" si="5"/>
        <v>8</v>
      </c>
      <c r="B22" s="10">
        <f>GetSatHumRatio(A22,$E$1)*1000</f>
        <v>6.6556948174288815</v>
      </c>
      <c r="C22" s="11">
        <f>GetHumRatioFromRelHum(A22,$C$4,$E$1)*1000</f>
        <v>5.9837219034112001</v>
      </c>
      <c r="D22" s="11">
        <f>GetHumRatioFromRelHum($A22,D$4,$E$1)*1000</f>
        <v>5.3131841306933971</v>
      </c>
      <c r="E22" s="11">
        <f>GetHumRatioFromRelHum($A22,E$4,$E$1)*1000</f>
        <v>4.6440769066048526</v>
      </c>
      <c r="F22" s="11">
        <f>GetHumRatioFromRelHum($A22,F$4,$E$1)*1000</f>
        <v>3.9763956580503907</v>
      </c>
      <c r="G22" s="11">
        <f>GetHumRatioFromRelHum($A22,G$4,$E$1)*1000</f>
        <v>3.3101358314060976</v>
      </c>
      <c r="H22" s="11">
        <f>GetHumRatioFromRelHum($A22,H$4,$E$1)*1000</f>
        <v>2.6452928924157968</v>
      </c>
      <c r="I22" s="11">
        <f>GetHumRatioFromRelHum($A22,I$4,$E$1)*1000</f>
        <v>1.9818623260881907</v>
      </c>
      <c r="J22" s="11">
        <f>GetHumRatioFromRelHum($A22,J$4,$E$1)*1000</f>
        <v>1.3198396365946587</v>
      </c>
      <c r="K22" s="11">
        <f>GetHumRatioFromRelHum($A22,K$4,$E$1)*1000</f>
        <v>0.65922034716769451</v>
      </c>
      <c r="L22" s="11">
        <f>IF(GetHumRatioFromEnthalpyAndTDryBulb(L$4*1000,$A22)*1000&lt;=$B22+$J$1,GetHumRatioFromEnthalpyAndTDryBulb(L$4*1000,$A22)*1000)</f>
        <v>0.77587166319538281</v>
      </c>
      <c r="M22" s="11"/>
      <c r="N22" s="11"/>
      <c r="O22" s="11"/>
      <c r="P22" s="11"/>
      <c r="Q22" s="11"/>
      <c r="R22" s="13">
        <f t="shared" si="6"/>
        <v>4.1802175901721554</v>
      </c>
      <c r="S22" s="13" t="e">
        <f t="shared" si="6"/>
        <v>#N/A</v>
      </c>
      <c r="T22" s="13" t="e">
        <f t="shared" si="6"/>
        <v>#N/A</v>
      </c>
      <c r="U22" s="13" t="e">
        <f t="shared" si="6"/>
        <v>#N/A</v>
      </c>
      <c r="V22" s="13" t="e">
        <f t="shared" si="6"/>
        <v>#N/A</v>
      </c>
      <c r="W22" s="13" t="e">
        <f t="shared" si="6"/>
        <v>#N/A</v>
      </c>
      <c r="X22" s="13" t="e">
        <f t="shared" si="6"/>
        <v>#N/A</v>
      </c>
      <c r="Y22" s="11">
        <f>IF(GetHumRatioFromVapPres(Y$4*1000,$E$1)&lt;GetSatHumRatio($A22,$E$1)+$J$1/1000,GetHumRatioFromVapPres(Y$4*1000,$E$1)*1000)</f>
        <v>6.199302267630201</v>
      </c>
      <c r="Z22" s="11"/>
      <c r="AA22" s="11"/>
      <c r="AB22" s="11"/>
      <c r="AC22" s="11"/>
    </row>
    <row r="23" spans="1:29" x14ac:dyDescent="0.25">
      <c r="A23" s="2">
        <f t="shared" si="5"/>
        <v>8.5</v>
      </c>
      <c r="B23" s="10">
        <f>GetSatHumRatio(A23,$E$1)*1000</f>
        <v>6.888227092986428</v>
      </c>
      <c r="C23" s="11">
        <f>GetHumRatioFromRelHum(A23,$C$4,$E$1)*1000</f>
        <v>6.1925459536316918</v>
      </c>
      <c r="D23" s="11">
        <f>GetHumRatioFromRelHum($A23,D$4,$E$1)*1000</f>
        <v>5.4984023838510447</v>
      </c>
      <c r="E23" s="11">
        <f>GetHumRatioFromRelHum($A23,E$4,$E$1)*1000</f>
        <v>4.8057912918494132</v>
      </c>
      <c r="F23" s="11">
        <f>GetHumRatioFromRelHum($A23,F$4,$E$1)*1000</f>
        <v>4.1147076082894971</v>
      </c>
      <c r="G23" s="11">
        <f>GetHumRatioFromRelHum($A23,G$4,$E$1)*1000</f>
        <v>3.425146286168085</v>
      </c>
      <c r="H23" s="11">
        <f>GetHumRatioFromRelHum($A23,H$4,$E$1)*1000</f>
        <v>2.737102300693198</v>
      </c>
      <c r="I23" s="11">
        <f>GetHumRatioFromRelHum($A23,I$4,$E$1)*1000</f>
        <v>2.0505706491620397</v>
      </c>
      <c r="J23" s="11">
        <f>GetHumRatioFromRelHum($A23,J$4,$E$1)*1000</f>
        <v>1.3655463508397403</v>
      </c>
      <c r="K23" s="11">
        <f>GetHumRatioFromRelHum($A23,K$4,$E$1)*1000</f>
        <v>0.68202444683891483</v>
      </c>
      <c r="L23" s="11">
        <f>IF(GetHumRatioFromEnthalpyAndTDryBulb(L$4*1000,$A23)*1000&lt;=$B23+$J$1,GetHumRatioFromEnthalpyAndTDryBulb(L$4*1000,$A23)*1000)</f>
        <v>0.57572879955181355</v>
      </c>
      <c r="M23" s="11"/>
      <c r="N23" s="11"/>
      <c r="O23" s="11"/>
      <c r="P23" s="11"/>
      <c r="Q23" s="11"/>
      <c r="R23" s="13">
        <f t="shared" si="6"/>
        <v>3.9771278573489179</v>
      </c>
      <c r="S23" s="13" t="e">
        <f t="shared" si="6"/>
        <v>#N/A</v>
      </c>
      <c r="T23" s="13" t="e">
        <f t="shared" si="6"/>
        <v>#N/A</v>
      </c>
      <c r="U23" s="13" t="e">
        <f t="shared" si="6"/>
        <v>#N/A</v>
      </c>
      <c r="V23" s="13" t="e">
        <f t="shared" si="6"/>
        <v>#N/A</v>
      </c>
      <c r="W23" s="13" t="e">
        <f t="shared" si="6"/>
        <v>#N/A</v>
      </c>
      <c r="X23" s="13" t="e">
        <f t="shared" si="6"/>
        <v>#N/A</v>
      </c>
      <c r="Y23" s="11">
        <f>IF(GetHumRatioFromVapPres(Y$4*1000,$E$1)&lt;GetSatHumRatio($A23,$E$1)+$J$1/1000,GetHumRatioFromVapPres(Y$4*1000,$E$1)*1000)</f>
        <v>6.199302267630201</v>
      </c>
      <c r="Z23" s="11"/>
      <c r="AA23" s="11"/>
      <c r="AB23" s="11"/>
      <c r="AC23" s="11"/>
    </row>
    <row r="24" spans="1:29" x14ac:dyDescent="0.25">
      <c r="A24" s="2">
        <f t="shared" si="5"/>
        <v>9</v>
      </c>
      <c r="B24" s="10">
        <f>GetSatHumRatio(A24,$E$1)*1000</f>
        <v>7.1279974528507113</v>
      </c>
      <c r="C24" s="11">
        <f>GetHumRatioFromRelHum(A24,$C$4,$E$1)*1000</f>
        <v>6.4078537839951393</v>
      </c>
      <c r="D24" s="11">
        <f>GetHumRatioFromRelHum($A24,D$4,$E$1)*1000</f>
        <v>5.6893570270219946</v>
      </c>
      <c r="E24" s="11">
        <f>GetHumRatioFromRelHum($A24,E$4,$E$1)*1000</f>
        <v>4.9725015388471743</v>
      </c>
      <c r="F24" s="11">
        <f>GetHumRatioFromRelHum($A24,F$4,$E$1)*1000</f>
        <v>4.2572817021382567</v>
      </c>
      <c r="G24" s="11">
        <f>GetHumRatioFromRelHum($A24,G$4,$E$1)*1000</f>
        <v>3.5436919251677819</v>
      </c>
      <c r="H24" s="11">
        <f>GetHumRatioFromRelHum($A24,H$4,$E$1)*1000</f>
        <v>2.8317266416675251</v>
      </c>
      <c r="I24" s="11">
        <f>GetHumRatioFromRelHum($A24,I$4,$E$1)*1000</f>
        <v>2.1213803106837643</v>
      </c>
      <c r="J24" s="11">
        <f>GetHumRatioFromRelHum($A24,J$4,$E$1)*1000</f>
        <v>1.4126474164335363</v>
      </c>
      <c r="K24" s="11">
        <f>GetHumRatioFromRelHum($A24,K$4,$E$1)*1000</f>
        <v>0.70552246816187214</v>
      </c>
      <c r="L24" s="11">
        <f>IF(GetHumRatioFromEnthalpyAndTDryBulb(L$4*1000,$A24)*1000&lt;=$B24+$J$1,GetHumRatioFromEnthalpyAndTDryBulb(L$4*1000,$A24)*1000)</f>
        <v>0.37573379300483756</v>
      </c>
      <c r="M24" s="11">
        <f>IF(GetHumRatioFromEnthalpyAndTDryBulb(M$4*1000,$A24)*1000&lt;=$B24+$J$1,GetHumRatioFromEnthalpyAndTDryBulb(M$4*1000,$A24)*1000)</f>
        <v>8.3193657804221246</v>
      </c>
      <c r="N24" s="11"/>
      <c r="O24" s="11"/>
      <c r="P24" s="11"/>
      <c r="Q24" s="11"/>
      <c r="R24" s="13">
        <f t="shared" si="6"/>
        <v>3.7741894163352514</v>
      </c>
      <c r="S24" s="13" t="e">
        <f t="shared" si="6"/>
        <v>#N/A</v>
      </c>
      <c r="T24" s="13" t="e">
        <f t="shared" si="6"/>
        <v>#N/A</v>
      </c>
      <c r="U24" s="13" t="e">
        <f t="shared" si="6"/>
        <v>#N/A</v>
      </c>
      <c r="V24" s="13" t="e">
        <f t="shared" si="6"/>
        <v>#N/A</v>
      </c>
      <c r="W24" s="13" t="e">
        <f t="shared" si="6"/>
        <v>#N/A</v>
      </c>
      <c r="X24" s="13" t="e">
        <f t="shared" si="6"/>
        <v>#N/A</v>
      </c>
      <c r="Y24" s="11">
        <f>IF(GetHumRatioFromVapPres(Y$4*1000,$E$1)&lt;GetSatHumRatio($A24,$E$1)+$J$1/1000,GetHumRatioFromVapPres(Y$4*1000,$E$1)*1000)</f>
        <v>6.199302267630201</v>
      </c>
      <c r="Z24" s="11"/>
      <c r="AA24" s="11"/>
      <c r="AB24" s="11"/>
      <c r="AC24" s="11"/>
    </row>
    <row r="25" spans="1:29" x14ac:dyDescent="0.25">
      <c r="A25" s="2">
        <f t="shared" si="5"/>
        <v>9.5</v>
      </c>
      <c r="B25" s="10">
        <f>GetSatHumRatio(A25,$E$1)*1000</f>
        <v>7.3752049873116698</v>
      </c>
      <c r="C25" s="11">
        <f>GetHumRatioFromRelHum(A25,$C$4,$E$1)*1000</f>
        <v>6.629822651748281</v>
      </c>
      <c r="D25" s="11">
        <f>GetHumRatioFromRelHum($A25,D$4,$E$1)*1000</f>
        <v>5.8862039256799941</v>
      </c>
      <c r="E25" s="11">
        <f>GetHumRatioFromRelHum($A25,E$4,$E$1)*1000</f>
        <v>5.1443425573288861</v>
      </c>
      <c r="F25" s="11">
        <f>GetHumRatioFromRelHum($A25,F$4,$E$1)*1000</f>
        <v>4.4042323244312023</v>
      </c>
      <c r="G25" s="11">
        <f>GetHumRatioFromRelHum($A25,G$4,$E$1)*1000</f>
        <v>3.6658670340633903</v>
      </c>
      <c r="H25" s="11">
        <f>GetHumRatioFromRelHum($A25,H$4,$E$1)*1000</f>
        <v>2.9292405224693696</v>
      </c>
      <c r="I25" s="11">
        <f>GetHumRatioFromRelHum($A25,I$4,$E$1)*1000</f>
        <v>2.1943466548890131</v>
      </c>
      <c r="J25" s="11">
        <f>GetHumRatioFromRelHum($A25,J$4,$E$1)*1000</f>
        <v>1.4611793253878487</v>
      </c>
      <c r="K25" s="11">
        <f>GetHumRatioFromRelHum($A25,K$4,$E$1)*1000</f>
        <v>0.72973245668794573</v>
      </c>
      <c r="L25" s="11">
        <f>IF(GetHumRatioFromEnthalpyAndTDryBulb(L$4*1000,$A25)*1000&lt;=$B25+$J$1,GetHumRatioFromEnthalpyAndTDryBulb(L$4*1000,$A25)*1000)</f>
        <v>0.17588647976908431</v>
      </c>
      <c r="M25" s="11">
        <f>IF(GetHumRatioFromEnthalpyAndTDryBulb(M$4*1000,$A25)*1000&lt;=$B25+$J$1,GetHumRatioFromEnthalpyAndTDryBulb(M$4*1000,$A25)*1000)</f>
        <v>8.1165853406758313</v>
      </c>
      <c r="N25" s="11"/>
      <c r="O25" s="11"/>
      <c r="P25" s="11"/>
      <c r="Q25" s="11"/>
      <c r="R25" s="13">
        <f t="shared" si="6"/>
        <v>3.5714020981367227</v>
      </c>
      <c r="S25" s="13" t="e">
        <f t="shared" si="6"/>
        <v>#N/A</v>
      </c>
      <c r="T25" s="13" t="e">
        <f t="shared" si="6"/>
        <v>#N/A</v>
      </c>
      <c r="U25" s="13" t="e">
        <f t="shared" si="6"/>
        <v>#N/A</v>
      </c>
      <c r="V25" s="13" t="e">
        <f t="shared" si="6"/>
        <v>#N/A</v>
      </c>
      <c r="W25" s="13" t="e">
        <f t="shared" si="6"/>
        <v>#N/A</v>
      </c>
      <c r="X25" s="13" t="e">
        <f t="shared" si="6"/>
        <v>#N/A</v>
      </c>
      <c r="Y25" s="11">
        <f>IF(GetHumRatioFromVapPres(Y$4*1000,$E$1)&lt;GetSatHumRatio($A25,$E$1)+$J$1/1000,GetHumRatioFromVapPres(Y$4*1000,$E$1)*1000)</f>
        <v>6.199302267630201</v>
      </c>
      <c r="Z25" s="11"/>
      <c r="AA25" s="11"/>
      <c r="AB25" s="11"/>
      <c r="AC25" s="11"/>
    </row>
    <row r="26" spans="1:29" x14ac:dyDescent="0.25">
      <c r="A26" s="2">
        <f t="shared" si="5"/>
        <v>10</v>
      </c>
      <c r="B26" s="10">
        <f>GetSatHumRatio(A26,$E$1)*1000</f>
        <v>7.6300537032615861</v>
      </c>
      <c r="C26" s="11">
        <f>GetHumRatioFromRelHum(A26,$C$4,$E$1)*1000</f>
        <v>6.8586341248135945</v>
      </c>
      <c r="D26" s="11">
        <f>GetHumRatioFromRelHum($A26,D$4,$E$1)*1000</f>
        <v>6.089102676754953</v>
      </c>
      <c r="E26" s="11">
        <f>GetHumRatioFromRelHum($A26,E$4,$E$1)*1000</f>
        <v>5.3214524354628443</v>
      </c>
      <c r="F26" s="11">
        <f>GetHumRatioFromRelHum($A26,F$4,$E$1)*1000</f>
        <v>4.5556765111242798</v>
      </c>
      <c r="G26" s="11">
        <f>GetHumRatioFromRelHum($A26,G$4,$E$1)*1000</f>
        <v>3.7917680475299762</v>
      </c>
      <c r="H26" s="11">
        <f>GetHumRatioFromRelHum($A26,H$4,$E$1)*1000</f>
        <v>3.0297202218697423</v>
      </c>
      <c r="I26" s="11">
        <f>GetHumRatioFromRelHum($A26,I$4,$E$1)*1000</f>
        <v>2.2695262445293456</v>
      </c>
      <c r="J26" s="11">
        <f>GetHumRatioFromRelHum($A26,J$4,$E$1)*1000</f>
        <v>1.511179358888872</v>
      </c>
      <c r="K26" s="11">
        <f>GetHumRatioFromRelHum($A26,K$4,$E$1)*1000</f>
        <v>0.75467284112254396</v>
      </c>
      <c r="L26" s="11">
        <f>IF(GetHumRatioFromEnthalpyAndTDryBulb(L$4*1000,$A26)*1000&lt;=$B26+$J$1,GetHumRatioFromEnthalpyAndTDryBulb(L$4*1000,$A26)*1000)</f>
        <v>-2.3813303699000039E-2</v>
      </c>
      <c r="M26" s="11">
        <f>IF(GetHumRatioFromEnthalpyAndTDryBulb(M$4*1000,$A26)*1000&lt;=$B26+$J$1,GetHumRatioFromEnthalpyAndTDryBulb(M$4*1000,$A26)*1000)</f>
        <v>7.9139545959676125</v>
      </c>
      <c r="N26" s="11"/>
      <c r="O26" s="11"/>
      <c r="P26" s="11"/>
      <c r="Q26" s="11"/>
      <c r="R26" s="13">
        <f t="shared" si="6"/>
        <v>3.3687657340105011</v>
      </c>
      <c r="S26" s="13">
        <f t="shared" si="6"/>
        <v>7.6300537032615861</v>
      </c>
      <c r="T26" s="13" t="e">
        <f t="shared" si="6"/>
        <v>#N/A</v>
      </c>
      <c r="U26" s="13" t="e">
        <f t="shared" si="6"/>
        <v>#N/A</v>
      </c>
      <c r="V26" s="13" t="e">
        <f t="shared" si="6"/>
        <v>#N/A</v>
      </c>
      <c r="W26" s="13" t="e">
        <f t="shared" si="6"/>
        <v>#N/A</v>
      </c>
      <c r="X26" s="13" t="e">
        <f t="shared" si="6"/>
        <v>#N/A</v>
      </c>
      <c r="Y26" s="11">
        <f>IF(GetHumRatioFromVapPres(Y$4*1000,$E$1)&lt;GetSatHumRatio($A26,$E$1)+$J$1/1000,GetHumRatioFromVapPres(Y$4*1000,$E$1)*1000)</f>
        <v>6.199302267630201</v>
      </c>
      <c r="Z26" s="11"/>
      <c r="AA26" s="11"/>
      <c r="AB26" s="11"/>
      <c r="AC26" s="11"/>
    </row>
    <row r="27" spans="1:29" x14ac:dyDescent="0.25">
      <c r="A27" s="2">
        <f t="shared" si="5"/>
        <v>10.5</v>
      </c>
      <c r="B27" s="10">
        <f>GetSatHumRatio(A27,$E$1)*1000</f>
        <v>7.8927526445880645</v>
      </c>
      <c r="C27" s="11">
        <f>GetHumRatioFromRelHum(A27,$C$4,$E$1)*1000</f>
        <v>7.094474183725147</v>
      </c>
      <c r="D27" s="11">
        <f>GetHumRatioFromRelHum($A27,D$4,$E$1)*1000</f>
        <v>6.2982166936588388</v>
      </c>
      <c r="E27" s="11">
        <f>GetHumRatioFromRelHum($A27,E$4,$E$1)*1000</f>
        <v>5.5039725094708816</v>
      </c>
      <c r="F27" s="11">
        <f>GetHumRatioFromRelHum($A27,F$4,$E$1)*1000</f>
        <v>4.7117340049549608</v>
      </c>
      <c r="G27" s="11">
        <f>GetHumRatioFromRelHum($A27,G$4,$E$1)*1000</f>
        <v>3.9214935923726291</v>
      </c>
      <c r="H27" s="11">
        <f>GetHumRatioFromRelHum($A27,H$4,$E$1)*1000</f>
        <v>3.1332437222110601</v>
      </c>
      <c r="I27" s="11">
        <f>GetHumRatioFromRelHum($A27,I$4,$E$1)*1000</f>
        <v>2.3469768829426312</v>
      </c>
      <c r="J27" s="11">
        <f>GetHumRatioFromRelHum($A27,J$4,$E$1)*1000</f>
        <v>1.562685600786327</v>
      </c>
      <c r="K27" s="11">
        <f>GetHumRatioFromRelHum($A27,K$4,$E$1)*1000</f>
        <v>0.7803624394709312</v>
      </c>
      <c r="L27" s="11">
        <f>IF(GetHumRatioFromEnthalpyAndTDryBulb(L$4*1000,$A27)*1000&lt;=$B27+$J$1,GetHumRatioFromEnthalpyAndTDryBulb(L$4*1000,$A27)*1000)</f>
        <v>-0.22336572070159869</v>
      </c>
      <c r="M27" s="11">
        <f>IF(GetHumRatioFromEnthalpyAndTDryBulb(M$4*1000,$A27)*1000&lt;=$B27+$J$1,GetHumRatioFromEnthalpyAndTDryBulb(M$4*1000,$A27)*1000)</f>
        <v>7.7114733805985232</v>
      </c>
      <c r="N27" s="11"/>
      <c r="O27" s="11"/>
      <c r="P27" s="11"/>
      <c r="Q27" s="11"/>
      <c r="R27" s="13">
        <f t="shared" si="6"/>
        <v>3.166280155464881</v>
      </c>
      <c r="S27" s="13">
        <f t="shared" si="6"/>
        <v>7.424259487031093</v>
      </c>
      <c r="T27" s="13" t="e">
        <f t="shared" si="6"/>
        <v>#N/A</v>
      </c>
      <c r="U27" s="13" t="e">
        <f t="shared" si="6"/>
        <v>#N/A</v>
      </c>
      <c r="V27" s="13" t="e">
        <f t="shared" si="6"/>
        <v>#N/A</v>
      </c>
      <c r="W27" s="13" t="e">
        <f t="shared" si="6"/>
        <v>#N/A</v>
      </c>
      <c r="X27" s="13" t="e">
        <f t="shared" si="6"/>
        <v>#N/A</v>
      </c>
      <c r="Y27" s="11">
        <f>IF(GetHumRatioFromVapPres(Y$4*1000,$E$1)&lt;GetSatHumRatio($A27,$E$1)+$J$1/1000,GetHumRatioFromVapPres(Y$4*1000,$E$1)*1000)</f>
        <v>6.199302267630201</v>
      </c>
      <c r="Z27" s="11"/>
      <c r="AA27" s="11"/>
      <c r="AB27" s="11"/>
      <c r="AC27" s="11"/>
    </row>
    <row r="28" spans="1:29" x14ac:dyDescent="0.25">
      <c r="A28" s="2">
        <f t="shared" si="5"/>
        <v>11</v>
      </c>
      <c r="B28" s="10">
        <f>GetSatHumRatio(A28,$E$1)*1000</f>
        <v>8.1635160162261524</v>
      </c>
      <c r="C28" s="11">
        <f>GetHumRatioFromRelHum(A28,$C$4,$E$1)*1000</f>
        <v>7.3375333265120544</v>
      </c>
      <c r="D28" s="11">
        <f>GetHumRatioFromRelHum($A28,D$4,$E$1)*1000</f>
        <v>6.5137132936350977</v>
      </c>
      <c r="E28" s="11">
        <f>GetHumRatioFromRelHum($A28,E$4,$E$1)*1000</f>
        <v>5.6920474350271393</v>
      </c>
      <c r="F28" s="11">
        <f>GetHumRatioFromRelHum($A28,F$4,$E$1)*1000</f>
        <v>4.8725273124235695</v>
      </c>
      <c r="G28" s="11">
        <f>GetHumRatioFromRelHum($A28,G$4,$E$1)*1000</f>
        <v>4.0551445315744603</v>
      </c>
      <c r="H28" s="11">
        <f>GetHumRatioFromRelHum($A28,H$4,$E$1)*1000</f>
        <v>3.2398907419579417</v>
      </c>
      <c r="I28" s="11">
        <f>GetHumRatioFromRelHum($A28,I$4,$E$1)*1000</f>
        <v>2.426757636495847</v>
      </c>
      <c r="J28" s="11">
        <f>GetHumRatioFromRelHum($A28,J$4,$E$1)*1000</f>
        <v>1.6157369512715498</v>
      </c>
      <c r="K28" s="11">
        <f>GetHumRatioFromRelHum($A28,K$4,$E$1)*1000</f>
        <v>0.80682046525001205</v>
      </c>
      <c r="L28" s="11">
        <f>IF(GetHumRatioFromEnthalpyAndTDryBulb(L$4*1000,$A28)*1000&lt;=$B28+$J$1,GetHumRatioFromEnthalpyAndTDryBulb(L$4*1000,$A28)*1000)</f>
        <v>-0.42277093429996937</v>
      </c>
      <c r="M28" s="11">
        <f>IF(GetHumRatioFromEnthalpyAndTDryBulb(M$4*1000,$A28)*1000&lt;=$B28+$J$1,GetHumRatioFromEnthalpyAndTDryBulb(M$4*1000,$A28)*1000)</f>
        <v>7.5091415291140837</v>
      </c>
      <c r="N28" s="11"/>
      <c r="O28" s="11"/>
      <c r="P28" s="11"/>
      <c r="Q28" s="11"/>
      <c r="R28" s="13">
        <f t="shared" si="6"/>
        <v>2.9639451942588244</v>
      </c>
      <c r="S28" s="13">
        <f t="shared" si="6"/>
        <v>7.2186196413612524</v>
      </c>
      <c r="T28" s="13" t="e">
        <f t="shared" si="6"/>
        <v>#N/A</v>
      </c>
      <c r="U28" s="13" t="e">
        <f t="shared" si="6"/>
        <v>#N/A</v>
      </c>
      <c r="V28" s="13" t="e">
        <f t="shared" si="6"/>
        <v>#N/A</v>
      </c>
      <c r="W28" s="13" t="e">
        <f t="shared" si="6"/>
        <v>#N/A</v>
      </c>
      <c r="X28" s="13" t="e">
        <f t="shared" si="6"/>
        <v>#N/A</v>
      </c>
      <c r="Y28" s="11">
        <f>IF(GetHumRatioFromVapPres(Y$4*1000,$E$1)&lt;GetSatHumRatio($A28,$E$1)+$J$1/1000,GetHumRatioFromVapPres(Y$4*1000,$E$1)*1000)</f>
        <v>6.199302267630201</v>
      </c>
      <c r="Z28" s="11"/>
      <c r="AA28" s="11"/>
      <c r="AB28" s="11"/>
      <c r="AC28" s="11"/>
    </row>
    <row r="29" spans="1:29" x14ac:dyDescent="0.25">
      <c r="A29" s="2">
        <f t="shared" si="5"/>
        <v>11.5</v>
      </c>
      <c r="B29" s="10">
        <f>GetSatHumRatio(A29,$E$1)*1000</f>
        <v>8.4425633120231769</v>
      </c>
      <c r="C29" s="11">
        <f>GetHumRatioFromRelHum(A29,$C$4,$E$1)*1000</f>
        <v>7.5880066766493215</v>
      </c>
      <c r="D29" s="11">
        <f>GetHumRatioFromRelHum($A29,D$4,$E$1)*1000</f>
        <v>6.735763787522699</v>
      </c>
      <c r="E29" s="11">
        <f>GetHumRatioFromRelHum($A29,E$4,$E$1)*1000</f>
        <v>5.8858252605066008</v>
      </c>
      <c r="F29" s="11">
        <f>GetHumRatioFromRelHum($A29,F$4,$E$1)*1000</f>
        <v>5.0381817621429601</v>
      </c>
      <c r="G29" s="11">
        <f>GetHumRatioFromRelHum($A29,G$4,$E$1)*1000</f>
        <v>4.1928240093106925</v>
      </c>
      <c r="H29" s="11">
        <f>GetHumRatioFromRelHum($A29,H$4,$E$1)*1000</f>
        <v>3.3497427688868155</v>
      </c>
      <c r="I29" s="11">
        <f>GetHumRatioFromRelHum($A29,I$4,$E$1)*1000</f>
        <v>2.508928857410289</v>
      </c>
      <c r="J29" s="11">
        <f>GetHumRatioFromRelHum($A29,J$4,$E$1)*1000</f>
        <v>1.6703731407485753</v>
      </c>
      <c r="K29" s="11">
        <f>GetHumRatioFromRelHum($A29,K$4,$E$1)*1000</f>
        <v>0.83406653376686957</v>
      </c>
      <c r="L29" s="11">
        <f>IF(GetHumRatioFromEnthalpyAndTDryBulb(L$4*1000,$A29)*1000&lt;=$B29+$J$1,GetHumRatioFromEnthalpyAndTDryBulb(L$4*1000,$A29)*1000)</f>
        <v>-0.62202910731488825</v>
      </c>
      <c r="M29" s="11">
        <f>IF(GetHumRatioFromEnthalpyAndTDryBulb(M$4*1000,$A29)*1000&lt;=$B29+$J$1,GetHumRatioFromEnthalpyAndTDryBulb(M$4*1000,$A29)*1000)</f>
        <v>7.3069588763038222</v>
      </c>
      <c r="N29" s="11"/>
      <c r="O29" s="11"/>
      <c r="P29" s="11"/>
      <c r="Q29" s="11"/>
      <c r="R29" s="13">
        <f t="shared" si="6"/>
        <v>2.7617606824014844</v>
      </c>
      <c r="S29" s="13">
        <f t="shared" si="6"/>
        <v>7.0131339926222864</v>
      </c>
      <c r="T29" s="13" t="e">
        <f t="shared" si="6"/>
        <v>#N/A</v>
      </c>
      <c r="U29" s="13" t="e">
        <f t="shared" si="6"/>
        <v>#N/A</v>
      </c>
      <c r="V29" s="13" t="e">
        <f t="shared" si="6"/>
        <v>#N/A</v>
      </c>
      <c r="W29" s="13" t="e">
        <f t="shared" si="6"/>
        <v>#N/A</v>
      </c>
      <c r="X29" s="13" t="e">
        <f t="shared" si="6"/>
        <v>#N/A</v>
      </c>
      <c r="Y29" s="11">
        <f>IF(GetHumRatioFromVapPres(Y$4*1000,$E$1)&lt;GetSatHumRatio($A29,$E$1)+$J$1/1000,GetHumRatioFromVapPres(Y$4*1000,$E$1)*1000)</f>
        <v>6.199302267630201</v>
      </c>
      <c r="Z29" s="11"/>
      <c r="AA29" s="11"/>
      <c r="AB29" s="11"/>
      <c r="AC29" s="11"/>
    </row>
    <row r="30" spans="1:29" x14ac:dyDescent="0.25">
      <c r="A30" s="2">
        <f t="shared" si="5"/>
        <v>12</v>
      </c>
      <c r="B30" s="10">
        <f>GetSatHumRatio(A30,$E$1)*1000</f>
        <v>8.7301194465758751</v>
      </c>
      <c r="C30" s="11">
        <f>GetHumRatioFromRelHum(A30,$C$4,$E$1)*1000</f>
        <v>7.8460940942003328</v>
      </c>
      <c r="D30" s="11">
        <f>GetHumRatioFromRelHum($A30,D$4,$E$1)*1000</f>
        <v>6.9645435720289859</v>
      </c>
      <c r="E30" s="11">
        <f>GetHumRatioFromRelHum($A30,E$4,$E$1)*1000</f>
        <v>6.0854575021524218</v>
      </c>
      <c r="F30" s="11">
        <f>GetHumRatioFromRelHum($A30,F$4,$E$1)*1000</f>
        <v>5.2088255646049531</v>
      </c>
      <c r="G30" s="11">
        <f>GetHumRatioFromRelHum($A30,G$4,$E$1)*1000</f>
        <v>4.3346374969607915</v>
      </c>
      <c r="H30" s="11">
        <f>GetHumRatioFromRelHum($A30,H$4,$E$1)*1000</f>
        <v>3.4628830939335669</v>
      </c>
      <c r="I30" s="11">
        <f>GetHumRatioFromRelHum($A30,I$4,$E$1)*1000</f>
        <v>2.5935522069792163</v>
      </c>
      <c r="J30" s="11">
        <f>GetHumRatioFromRelHum($A30,J$4,$E$1)*1000</f>
        <v>1.7266347439021581</v>
      </c>
      <c r="K30" s="11">
        <f>GetHumRatioFromRelHum($A30,K$4,$E$1)*1000</f>
        <v>0.86212066846475199</v>
      </c>
      <c r="L30" s="11">
        <f>IF(GetHumRatioFromEnthalpyAndTDryBulb(L$4*1000,$A30)*1000&lt;=$B30+$J$1,GetHumRatioFromEnthalpyAndTDryBulb(L$4*1000,$A30)*1000)</f>
        <v>-0.82114040232709251</v>
      </c>
      <c r="M30" s="11">
        <f>IF(GetHumRatioFromEnthalpyAndTDryBulb(M$4*1000,$A30)*1000&lt;=$B30+$J$1,GetHumRatioFromEnthalpyAndTDryBulb(M$4*1000,$A30)*1000)</f>
        <v>7.104925257200831</v>
      </c>
      <c r="N30" s="11"/>
      <c r="O30" s="11"/>
      <c r="P30" s="11"/>
      <c r="Q30" s="11"/>
      <c r="R30" s="13">
        <f t="shared" si="6"/>
        <v>2.5597264521517498</v>
      </c>
      <c r="S30" s="13">
        <f t="shared" si="6"/>
        <v>6.8078023674447143</v>
      </c>
      <c r="T30" s="13" t="e">
        <f t="shared" si="6"/>
        <v>#N/A</v>
      </c>
      <c r="U30" s="13" t="e">
        <f t="shared" si="6"/>
        <v>#N/A</v>
      </c>
      <c r="V30" s="13" t="e">
        <f t="shared" si="6"/>
        <v>#N/A</v>
      </c>
      <c r="W30" s="13" t="e">
        <f t="shared" si="6"/>
        <v>#N/A</v>
      </c>
      <c r="X30" s="13" t="e">
        <f t="shared" si="6"/>
        <v>#N/A</v>
      </c>
      <c r="Y30" s="11">
        <f>IF(GetHumRatioFromVapPres(Y$4*1000,$E$1)&lt;GetSatHumRatio($A30,$E$1)+$J$1/1000,GetHumRatioFromVapPres(Y$4*1000,$E$1)*1000)</f>
        <v>6.199302267630201</v>
      </c>
      <c r="Z30" s="11"/>
      <c r="AA30" s="11"/>
      <c r="AB30" s="11"/>
      <c r="AC30" s="11"/>
    </row>
    <row r="31" spans="1:29" x14ac:dyDescent="0.25">
      <c r="A31" s="2">
        <f t="shared" si="5"/>
        <v>12.5</v>
      </c>
      <c r="B31" s="10">
        <f>GetSatHumRatio(A31,$E$1)*1000</f>
        <v>9.0264148912060929</v>
      </c>
      <c r="C31" s="11">
        <f>GetHumRatioFromRelHum(A31,$C$4,$E$1)*1000</f>
        <v>8.1120002902801573</v>
      </c>
      <c r="D31" s="11">
        <f>GetHumRatioFromRelHum($A31,D$4,$E$1)*1000</f>
        <v>7.2002322246090404</v>
      </c>
      <c r="E31" s="11">
        <f>GetHumRatioFromRelHum($A31,E$4,$E$1)*1000</f>
        <v>6.2910992212334573</v>
      </c>
      <c r="F31" s="11">
        <f>GetHumRatioFromRelHum($A31,F$4,$E$1)*1000</f>
        <v>5.3845898734134652</v>
      </c>
      <c r="G31" s="11">
        <f>GetHumRatioFromRelHum($A31,G$4,$E$1)*1000</f>
        <v>4.4806928401513888</v>
      </c>
      <c r="H31" s="11">
        <f>GetHumRatioFromRelHum($A31,H$4,$E$1)*1000</f>
        <v>3.5793968457188825</v>
      </c>
      <c r="I31" s="11">
        <f>GetHumRatioFromRelHum($A31,I$4,$E$1)*1000</f>
        <v>2.6806906791880531</v>
      </c>
      <c r="J31" s="11">
        <f>GetHumRatioFromRelHum($A31,J$4,$E$1)*1000</f>
        <v>1.7845631939666369</v>
      </c>
      <c r="K31" s="11">
        <f>GetHumRatioFromRelHum($A31,K$4,$E$1)*1000</f>
        <v>0.89100330733714683</v>
      </c>
      <c r="L31" s="11">
        <f>IF(GetHumRatioFromEnthalpyAndTDryBulb(L$4*1000,$A31)*1000&lt;=$B31+$J$1,GetHumRatioFromEnthalpyAndTDryBulb(L$4*1000,$A31)*1000)</f>
        <v>-1.0201049816777259</v>
      </c>
      <c r="M31" s="11">
        <f>IF(GetHumRatioFromEnthalpyAndTDryBulb(M$4*1000,$A31)*1000&lt;=$B31+$J$1,GetHumRatioFromEnthalpyAndTDryBulb(M$4*1000,$A31)*1000)</f>
        <v>6.9030405070813119</v>
      </c>
      <c r="N31" s="11"/>
      <c r="O31" s="11"/>
      <c r="P31" s="11"/>
      <c r="Q31" s="11"/>
      <c r="R31" s="13">
        <f t="shared" si="6"/>
        <v>2.3578423360177756</v>
      </c>
      <c r="S31" s="13">
        <f t="shared" si="6"/>
        <v>6.6026245927188567</v>
      </c>
      <c r="T31" s="13" t="e">
        <f t="shared" si="6"/>
        <v>#N/A</v>
      </c>
      <c r="U31" s="13" t="e">
        <f t="shared" si="6"/>
        <v>#N/A</v>
      </c>
      <c r="V31" s="13" t="e">
        <f t="shared" si="6"/>
        <v>#N/A</v>
      </c>
      <c r="W31" s="13" t="e">
        <f t="shared" si="6"/>
        <v>#N/A</v>
      </c>
      <c r="X31" s="13" t="e">
        <f t="shared" si="6"/>
        <v>#N/A</v>
      </c>
      <c r="Y31" s="11">
        <f>IF(GetHumRatioFromVapPres(Y$4*1000,$E$1)&lt;GetSatHumRatio($A31,$E$1)+$J$1/1000,GetHumRatioFromVapPres(Y$4*1000,$E$1)*1000)</f>
        <v>6.199302267630201</v>
      </c>
      <c r="Z31" s="11"/>
      <c r="AA31" s="11"/>
      <c r="AB31" s="11"/>
      <c r="AC31" s="11"/>
    </row>
    <row r="32" spans="1:29" x14ac:dyDescent="0.25">
      <c r="A32" s="2">
        <f t="shared" si="5"/>
        <v>13</v>
      </c>
      <c r="B32" s="10">
        <f>GetSatHumRatio(A32,$E$1)*1000</f>
        <v>9.3316858142510473</v>
      </c>
      <c r="C32" s="11">
        <f>GetHumRatioFromRelHum(A32,$C$4,$E$1)*1000</f>
        <v>8.3859349449764942</v>
      </c>
      <c r="D32" s="11">
        <f>GetHumRatioFromRelHum($A32,D$4,$E$1)*1000</f>
        <v>7.443013601055152</v>
      </c>
      <c r="E32" s="11">
        <f>GetHumRatioFromRelHum($A32,E$4,$E$1)*1000</f>
        <v>6.5029091032679078</v>
      </c>
      <c r="F32" s="11">
        <f>GetHumRatioFromRelHum($A32,F$4,$E$1)*1000</f>
        <v>5.5656088480374635</v>
      </c>
      <c r="G32" s="11">
        <f>GetHumRatioFromRelHum($A32,G$4,$E$1)*1000</f>
        <v>4.6311003068650942</v>
      </c>
      <c r="H32" s="11">
        <f>GetHumRatioFromRelHum($A32,H$4,$E$1)*1000</f>
        <v>3.6993710257724342</v>
      </c>
      <c r="I32" s="11">
        <f>GetHumRatioFromRelHum($A32,I$4,$E$1)*1000</f>
        <v>2.7704086247482351</v>
      </c>
      <c r="J32" s="11">
        <f>GetHumRatioFromRelHum($A32,J$4,$E$1)*1000</f>
        <v>1.8442007972000485</v>
      </c>
      <c r="K32" s="11">
        <f>GetHumRatioFromRelHum($A32,K$4,$E$1)*1000</f>
        <v>0.92073530941076664</v>
      </c>
      <c r="L32" s="11">
        <f>IF(GetHumRatioFromEnthalpyAndTDryBulb(L$4*1000,$A32)*1000&lt;=$B32+$J$1,GetHumRatioFromEnthalpyAndTDryBulb(L$4*1000,$A32)*1000)</f>
        <v>-1.2189230074687742</v>
      </c>
      <c r="M32" s="11">
        <f>IF(GetHumRatioFromEnthalpyAndTDryBulb(M$4*1000,$A32)*1000&lt;=$B32+$J$1,GetHumRatioFromEnthalpyAndTDryBulb(M$4*1000,$A32)*1000)</f>
        <v>6.7013044614641339</v>
      </c>
      <c r="N32" s="11"/>
      <c r="O32" s="11"/>
      <c r="P32" s="11"/>
      <c r="Q32" s="11"/>
      <c r="R32" s="13">
        <f t="shared" si="6"/>
        <v>2.1561081667565207</v>
      </c>
      <c r="S32" s="13">
        <f t="shared" si="6"/>
        <v>6.3976004955943502</v>
      </c>
      <c r="T32" s="13" t="e">
        <f t="shared" si="6"/>
        <v>#N/A</v>
      </c>
      <c r="U32" s="13" t="e">
        <f t="shared" si="6"/>
        <v>#N/A</v>
      </c>
      <c r="V32" s="13" t="e">
        <f t="shared" si="6"/>
        <v>#N/A</v>
      </c>
      <c r="W32" s="13" t="e">
        <f t="shared" si="6"/>
        <v>#N/A</v>
      </c>
      <c r="X32" s="13" t="e">
        <f t="shared" si="6"/>
        <v>#N/A</v>
      </c>
      <c r="Y32" s="11">
        <f>IF(GetHumRatioFromVapPres(Y$4*1000,$E$1)&lt;GetSatHumRatio($A32,$E$1)+$J$1/1000,GetHumRatioFromVapPres(Y$4*1000,$E$1)*1000)</f>
        <v>6.199302267630201</v>
      </c>
      <c r="Z32" s="11"/>
      <c r="AA32" s="11"/>
      <c r="AB32" s="11"/>
      <c r="AC32" s="11"/>
    </row>
    <row r="33" spans="1:29" x14ac:dyDescent="0.25">
      <c r="A33" s="2">
        <f t="shared" si="5"/>
        <v>13.5</v>
      </c>
      <c r="B33" s="10">
        <f>GetSatHumRatio(A33,$E$1)*1000</f>
        <v>9.6461742258513947</v>
      </c>
      <c r="C33" s="11">
        <f>GetHumRatioFromRelHum(A33,$C$4,$E$1)*1000</f>
        <v>8.6681128288703473</v>
      </c>
      <c r="D33" s="11">
        <f>GetHumRatioFromRelHum($A33,D$4,$E$1)*1000</f>
        <v>7.6930759359037051</v>
      </c>
      <c r="E33" s="11">
        <f>GetHumRatioFromRelHum($A33,E$4,$E$1)*1000</f>
        <v>6.7210495393913252</v>
      </c>
      <c r="F33" s="11">
        <f>GetHumRatioFromRelHum($A33,F$4,$E$1)*1000</f>
        <v>5.7520197181384338</v>
      </c>
      <c r="G33" s="11">
        <f>GetHumRatioFromRelHum($A33,G$4,$E$1)*1000</f>
        <v>4.7859726366510316</v>
      </c>
      <c r="H33" s="11">
        <f>GetHumRatioFromRelHum($A33,H$4,$E$1)*1000</f>
        <v>3.8228945444774163</v>
      </c>
      <c r="I33" s="11">
        <f>GetHumRatioFromRelHum($A33,I$4,$E$1)*1000</f>
        <v>2.8627717755557818</v>
      </c>
      <c r="J33" s="11">
        <f>GetHumRatioFromRelHum($A33,J$4,$E$1)*1000</f>
        <v>1.90559074756781</v>
      </c>
      <c r="K33" s="11">
        <f>GetHumRatioFromRelHum($A33,K$4,$E$1)*1000</f>
        <v>0.95133796129818693</v>
      </c>
      <c r="L33" s="11">
        <f>IF(GetHumRatioFromEnthalpyAndTDryBulb(L$4*1000,$A33)*1000&lt;=$B33+$J$1,GetHumRatioFromEnthalpyAndTDryBulb(L$4*1000,$A33)*1000)</f>
        <v>-1.4175946415635106</v>
      </c>
      <c r="M33" s="11">
        <f>IF(GetHumRatioFromEnthalpyAndTDryBulb(M$4*1000,$A33)*1000&lt;=$B33+$J$1,GetHumRatioFromEnthalpyAndTDryBulb(M$4*1000,$A33)*1000)</f>
        <v>6.4997169561103831</v>
      </c>
      <c r="N33" s="11"/>
      <c r="O33" s="11"/>
      <c r="P33" s="11"/>
      <c r="Q33" s="11"/>
      <c r="R33" s="13">
        <f t="shared" si="6"/>
        <v>1.9545237773732891</v>
      </c>
      <c r="S33" s="13">
        <f t="shared" si="6"/>
        <v>6.1927299034796661</v>
      </c>
      <c r="T33" s="13" t="e">
        <f t="shared" si="6"/>
        <v>#N/A</v>
      </c>
      <c r="U33" s="13" t="e">
        <f t="shared" si="6"/>
        <v>#N/A</v>
      </c>
      <c r="V33" s="13" t="e">
        <f t="shared" si="6"/>
        <v>#N/A</v>
      </c>
      <c r="W33" s="13" t="e">
        <f t="shared" si="6"/>
        <v>#N/A</v>
      </c>
      <c r="X33" s="13" t="e">
        <f t="shared" si="6"/>
        <v>#N/A</v>
      </c>
      <c r="Y33" s="11">
        <f>IF(GetHumRatioFromVapPres(Y$4*1000,$E$1)&lt;GetSatHumRatio($A33,$E$1)+$J$1/1000,GetHumRatioFromVapPres(Y$4*1000,$E$1)*1000)</f>
        <v>6.199302267630201</v>
      </c>
      <c r="Z33" s="11"/>
      <c r="AA33" s="11"/>
      <c r="AB33" s="11"/>
      <c r="AC33" s="11"/>
    </row>
    <row r="34" spans="1:29" x14ac:dyDescent="0.25">
      <c r="A34" s="2">
        <f t="shared" si="5"/>
        <v>14</v>
      </c>
      <c r="B34" s="10">
        <f>GetSatHumRatio(A34,$E$1)*1000</f>
        <v>9.9701281274307547</v>
      </c>
      <c r="C34" s="11">
        <f>GetHumRatioFromRelHum(A34,$C$4,$E$1)*1000</f>
        <v>8.9587539283066739</v>
      </c>
      <c r="D34" s="11">
        <f>GetHumRatioFromRelHum($A34,D$4,$E$1)*1000</f>
        <v>7.9506119457729705</v>
      </c>
      <c r="E34" s="11">
        <f>GetHumRatioFromRelHum($A34,E$4,$E$1)*1000</f>
        <v>6.945686709951973</v>
      </c>
      <c r="F34" s="11">
        <f>GetHumRatioFromRelHum($A34,F$4,$E$1)*1000</f>
        <v>5.9439628495303438</v>
      </c>
      <c r="G34" s="11">
        <f>GetHumRatioFromRelHum($A34,G$4,$E$1)*1000</f>
        <v>4.9454250909753155</v>
      </c>
      <c r="H34" s="11">
        <f>GetHumRatioFromRelHum($A34,H$4,$E$1)*1000</f>
        <v>3.9500582577584318</v>
      </c>
      <c r="I34" s="11">
        <f>GetHumRatioFromRelHum($A34,I$4,$E$1)*1000</f>
        <v>2.9578472695866536</v>
      </c>
      <c r="J34" s="11">
        <f>GetHumRatioFromRelHum($A34,J$4,$E$1)*1000</f>
        <v>1.9687771416407751</v>
      </c>
      <c r="K34" s="11">
        <f>GetHumRatioFromRelHum($A34,K$4,$E$1)*1000</f>
        <v>0.98283298382105688</v>
      </c>
      <c r="L34" s="11">
        <f>IF(GetHumRatioFromEnthalpyAndTDryBulb(L$4*1000,$A34)*1000&lt;=$B34+$J$1,GetHumRatioFromEnthalpyAndTDryBulb(L$4*1000,$A34)*1000)</f>
        <v>-1.6161200455869316</v>
      </c>
      <c r="M34" s="11">
        <f>IF(GetHumRatioFromEnthalpyAndTDryBulb(M$4*1000,$A34)*1000&lt;=$B34+$J$1,GetHumRatioFromEnthalpyAndTDryBulb(M$4*1000,$A34)*1000)</f>
        <v>6.2982778270229201</v>
      </c>
      <c r="N34" s="11"/>
      <c r="O34" s="11"/>
      <c r="P34" s="11"/>
      <c r="Q34" s="11"/>
      <c r="R34" s="13">
        <f t="shared" si="6"/>
        <v>1.7530890011212665</v>
      </c>
      <c r="S34" s="13">
        <f t="shared" si="6"/>
        <v>5.988012644041623</v>
      </c>
      <c r="T34" s="13" t="e">
        <f t="shared" si="6"/>
        <v>#N/A</v>
      </c>
      <c r="U34" s="13" t="e">
        <f t="shared" si="6"/>
        <v>#N/A</v>
      </c>
      <c r="V34" s="13" t="e">
        <f t="shared" si="6"/>
        <v>#N/A</v>
      </c>
      <c r="W34" s="13" t="e">
        <f t="shared" si="6"/>
        <v>#N/A</v>
      </c>
      <c r="X34" s="13" t="e">
        <f t="shared" si="6"/>
        <v>#N/A</v>
      </c>
      <c r="Y34" s="11">
        <f>IF(GetHumRatioFromVapPres(Y$4*1000,$E$1)&lt;GetSatHumRatio($A34,$E$1)+$J$1/1000,GetHumRatioFromVapPres(Y$4*1000,$E$1)*1000)</f>
        <v>6.199302267630201</v>
      </c>
      <c r="Z34" s="11"/>
      <c r="AA34" s="11"/>
      <c r="AB34" s="11"/>
      <c r="AC34" s="11"/>
    </row>
    <row r="35" spans="1:29" x14ac:dyDescent="0.25">
      <c r="A35" s="2">
        <f t="shared" si="5"/>
        <v>14.5</v>
      </c>
      <c r="B35" s="10">
        <f>GetSatHumRatio(A35,$E$1)*1000</f>
        <v>10.303801666067232</v>
      </c>
      <c r="C35" s="11">
        <f>GetHumRatioFromRelHum(A35,$C$4,$E$1)*1000</f>
        <v>9.2580835745700067</v>
      </c>
      <c r="D35" s="11">
        <f>GetHumRatioFromRelHum($A35,D$4,$E$1)*1000</f>
        <v>8.2158189357484908</v>
      </c>
      <c r="E35" s="11">
        <f>GetHumRatioFromRelHum($A35,E$4,$E$1)*1000</f>
        <v>7.1769906704183946</v>
      </c>
      <c r="F35" s="11">
        <f>GetHumRatioFromRelHum($A35,F$4,$E$1)*1000</f>
        <v>6.1415818118311067</v>
      </c>
      <c r="G35" s="11">
        <f>GetHumRatioFromRelHum($A35,G$4,$E$1)*1000</f>
        <v>5.1095755047499747</v>
      </c>
      <c r="H35" s="11">
        <f>GetHumRatioFromRelHum($A35,H$4,$E$1)*1000</f>
        <v>4.080955004535685</v>
      </c>
      <c r="I35" s="11">
        <f>GetHumRatioFromRelHum($A35,I$4,$E$1)*1000</f>
        <v>3.0557036762406264</v>
      </c>
      <c r="J35" s="11">
        <f>GetHumRatioFromRelHum($A35,J$4,$E$1)*1000</f>
        <v>2.0338049937121507</v>
      </c>
      <c r="K35" s="11">
        <f>GetHumRatioFromRelHum($A35,K$4,$E$1)*1000</f>
        <v>1.0152425387045938</v>
      </c>
      <c r="L35" s="11">
        <f>IF(GetHumRatioFromEnthalpyAndTDryBulb(L$4*1000,$A35)*1000&lt;=$B35+$J$1,GetHumRatioFromEnthalpyAndTDryBulb(L$4*1000,$A35)*1000)</f>
        <v>-1.8144993809261978</v>
      </c>
      <c r="M35" s="11">
        <f>IF(GetHumRatioFromEnthalpyAndTDryBulb(M$4*1000,$A35)*1000&lt;=$B35+$J$1,GetHumRatioFromEnthalpyAndTDryBulb(M$4*1000,$A35)*1000)</f>
        <v>6.0969869104459313</v>
      </c>
      <c r="N35" s="11"/>
      <c r="O35" s="11"/>
      <c r="P35" s="11"/>
      <c r="Q35" s="11"/>
      <c r="R35" s="13">
        <f t="shared" si="6"/>
        <v>1.5518036715010599</v>
      </c>
      <c r="S35" s="13">
        <f t="shared" si="6"/>
        <v>5.7834485452049034</v>
      </c>
      <c r="T35" s="13" t="e">
        <f t="shared" si="6"/>
        <v>#N/A</v>
      </c>
      <c r="U35" s="13" t="e">
        <f t="shared" si="6"/>
        <v>#N/A</v>
      </c>
      <c r="V35" s="13" t="e">
        <f t="shared" si="6"/>
        <v>#N/A</v>
      </c>
      <c r="W35" s="13" t="e">
        <f t="shared" si="6"/>
        <v>#N/A</v>
      </c>
      <c r="X35" s="13" t="e">
        <f t="shared" si="6"/>
        <v>#N/A</v>
      </c>
      <c r="Y35" s="11">
        <f>IF(GetHumRatioFromVapPres(Y$4*1000,$E$1)&lt;GetSatHumRatio($A35,$E$1)+$J$1/1000,GetHumRatioFromVapPres(Y$4*1000,$E$1)*1000)</f>
        <v>6.199302267630201</v>
      </c>
      <c r="Z35" s="11"/>
      <c r="AA35" s="11"/>
      <c r="AB35" s="11"/>
      <c r="AC35" s="11"/>
    </row>
    <row r="36" spans="1:29" x14ac:dyDescent="0.25">
      <c r="A36" s="2">
        <f t="shared" si="5"/>
        <v>15</v>
      </c>
      <c r="B36" s="10">
        <f>GetSatHumRatio(A36,$E$1)*1000</f>
        <v>10.647455293969347</v>
      </c>
      <c r="C36" s="11">
        <f>GetHumRatioFromRelHum(A36,$C$4,$E$1)*1000</f>
        <v>9.566332577129435</v>
      </c>
      <c r="D36" s="11">
        <f>GetHumRatioFromRelHum($A36,D$4,$E$1)*1000</f>
        <v>8.4888989089398912</v>
      </c>
      <c r="E36" s="11">
        <f>GetHumRatioFromRelHum($A36,E$4,$E$1)*1000</f>
        <v>7.4151354396893456</v>
      </c>
      <c r="F36" s="11">
        <f>GetHumRatioFromRelHum($A36,F$4,$E$1)*1000</f>
        <v>6.3450234478684013</v>
      </c>
      <c r="G36" s="11">
        <f>GetHumRatioFromRelHum($A36,G$4,$E$1)*1000</f>
        <v>5.2785443390815585</v>
      </c>
      <c r="H36" s="11">
        <f>GetHumRatioFromRelHum($A36,H$4,$E$1)*1000</f>
        <v>4.2156796449702085</v>
      </c>
      <c r="I36" s="11">
        <f>GetHumRatioFromRelHum($A36,I$4,$E$1)*1000</f>
        <v>3.1564110221465587</v>
      </c>
      <c r="J36" s="11">
        <f>GetHumRatioFromRelHum($A36,J$4,$E$1)*1000</f>
        <v>2.1007202511383607</v>
      </c>
      <c r="K36" s="11">
        <f>GetHumRatioFromRelHum($A36,K$4,$E$1)*1000</f>
        <v>1.0485892353443105</v>
      </c>
      <c r="L36" s="11">
        <f>IF(GetHumRatioFromEnthalpyAndTDryBulb(L$4*1000,$A36)*1000&lt;=$B36+$J$1,GetHumRatioFromEnthalpyAndTDryBulb(L$4*1000,$A36)*1000)</f>
        <v>-2.012732808731069</v>
      </c>
      <c r="M36" s="11">
        <f>IF(GetHumRatioFromEnthalpyAndTDryBulb(M$4*1000,$A36)*1000&lt;=$B36+$J$1,GetHumRatioFromEnthalpyAndTDryBulb(M$4*1000,$A36)*1000)</f>
        <v>5.8958440428644865</v>
      </c>
      <c r="N36" s="11"/>
      <c r="O36" s="11"/>
      <c r="P36" s="11"/>
      <c r="Q36" s="11"/>
      <c r="R36" s="13">
        <f t="shared" si="6"/>
        <v>1.350667622260241</v>
      </c>
      <c r="S36" s="13">
        <f t="shared" si="6"/>
        <v>5.5790374351515695</v>
      </c>
      <c r="T36" s="13">
        <f t="shared" si="6"/>
        <v>10.647455293969347</v>
      </c>
      <c r="U36" s="13" t="e">
        <f t="shared" si="6"/>
        <v>#N/A</v>
      </c>
      <c r="V36" s="13" t="e">
        <f t="shared" si="6"/>
        <v>#N/A</v>
      </c>
      <c r="W36" s="13" t="e">
        <f t="shared" si="6"/>
        <v>#N/A</v>
      </c>
      <c r="X36" s="13" t="e">
        <f t="shared" si="6"/>
        <v>#N/A</v>
      </c>
      <c r="Y36" s="11">
        <f>IF(GetHumRatioFromVapPres(Y$4*1000,$E$1)&lt;GetSatHumRatio($A36,$E$1)+$J$1/1000,GetHumRatioFromVapPres(Y$4*1000,$E$1)*1000)</f>
        <v>6.199302267630201</v>
      </c>
      <c r="Z36" s="11"/>
      <c r="AA36" s="11"/>
      <c r="AB36" s="11"/>
      <c r="AC36" s="11"/>
    </row>
    <row r="37" spans="1:29" x14ac:dyDescent="0.25">
      <c r="A37" s="2">
        <f t="shared" si="5"/>
        <v>15.5</v>
      </c>
      <c r="B37" s="10">
        <f>GetSatHumRatio(A37,$E$1)*1000</f>
        <v>11.001355933281021</v>
      </c>
      <c r="C37" s="11">
        <f>GetHumRatioFromRelHum(A37,$C$4,$E$1)*1000</f>
        <v>9.8837373611266823</v>
      </c>
      <c r="D37" s="11">
        <f>GetHumRatioFromRelHum($A37,D$4,$E$1)*1000</f>
        <v>8.7700586793400319</v>
      </c>
      <c r="E37" s="11">
        <f>GetHumRatioFromRelHum($A37,E$4,$E$1)*1000</f>
        <v>7.6602990909016153</v>
      </c>
      <c r="F37" s="11">
        <f>GetHumRatioFromRelHum($A37,F$4,$E$1)*1000</f>
        <v>6.5544379449064953</v>
      </c>
      <c r="G37" s="11">
        <f>GetHumRatioFromRelHum($A37,G$4,$E$1)*1000</f>
        <v>5.4524547352832728</v>
      </c>
      <c r="H37" s="11">
        <f>GetHumRatioFromRelHum($A37,H$4,$E$1)*1000</f>
        <v>4.3543290995265895</v>
      </c>
      <c r="I37" s="11">
        <f>GetHumRatioFromRelHum($A37,I$4,$E$1)*1000</f>
        <v>3.2600408174429232</v>
      </c>
      <c r="J37" s="11">
        <f>GetHumRatioFromRelHum($A37,J$4,$E$1)*1000</f>
        <v>2.1695698099094951</v>
      </c>
      <c r="K37" s="11">
        <f>GetHumRatioFromRelHum($A37,K$4,$E$1)*1000</f>
        <v>1.0828961376461392</v>
      </c>
      <c r="L37" s="11">
        <f>IF(GetHumRatioFromEnthalpyAndTDryBulb(L$4*1000,$A37)*1000&lt;=$B37+$J$1,GetHumRatioFromEnthalpyAndTDryBulb(L$4*1000,$A37)*1000)</f>
        <v>-2.2108204899143424</v>
      </c>
      <c r="M37" s="11">
        <f>IF(GetHumRatioFromEnthalpyAndTDryBulb(M$4*1000,$A37)*1000&lt;=$B37+$J$1,GetHumRatioFromEnthalpyAndTDryBulb(M$4*1000,$A37)*1000)</f>
        <v>5.6948490610040992</v>
      </c>
      <c r="N37" s="11"/>
      <c r="O37" s="11"/>
      <c r="P37" s="11"/>
      <c r="Q37" s="11"/>
      <c r="R37" s="13">
        <f t="shared" si="6"/>
        <v>1.1496806873928882</v>
      </c>
      <c r="S37" s="13">
        <f t="shared" si="6"/>
        <v>5.3747791423205911</v>
      </c>
      <c r="T37" s="13">
        <f t="shared" si="6"/>
        <v>10.439553462858628</v>
      </c>
      <c r="U37" s="13" t="e">
        <f t="shared" si="6"/>
        <v>#N/A</v>
      </c>
      <c r="V37" s="13" t="e">
        <f t="shared" si="6"/>
        <v>#N/A</v>
      </c>
      <c r="W37" s="13" t="e">
        <f t="shared" si="6"/>
        <v>#N/A</v>
      </c>
      <c r="X37" s="13" t="e">
        <f t="shared" si="6"/>
        <v>#N/A</v>
      </c>
      <c r="Y37" s="11">
        <f>IF(GetHumRatioFromVapPres(Y$4*1000,$E$1)&lt;GetSatHumRatio($A37,$E$1)+$J$1/1000,GetHumRatioFromVapPres(Y$4*1000,$E$1)*1000)</f>
        <v>6.199302267630201</v>
      </c>
      <c r="Z37" s="11"/>
      <c r="AA37" s="11"/>
      <c r="AB37" s="11"/>
      <c r="AC37" s="11"/>
    </row>
    <row r="38" spans="1:29" x14ac:dyDescent="0.25">
      <c r="A38" s="2">
        <f t="shared" si="5"/>
        <v>16</v>
      </c>
      <c r="B38" s="10">
        <f>GetSatHumRatio(A38,$E$1)*1000</f>
        <v>11.365777146443568</v>
      </c>
      <c r="C38" s="11">
        <f>GetHumRatioFromRelHum(A38,$C$4,$E$1)*1000</f>
        <v>10.210540109282439</v>
      </c>
      <c r="D38" s="11">
        <f>GetHumRatioFromRelHum($A38,D$4,$E$1)*1000</f>
        <v>9.0595099881174228</v>
      </c>
      <c r="E38" s="11">
        <f>GetHumRatioFromRelHum($A38,E$4,$E$1)*1000</f>
        <v>7.9126638448301261</v>
      </c>
      <c r="F38" s="11">
        <f>GetHumRatioFromRelHum($A38,F$4,$E$1)*1000</f>
        <v>6.7699789077590795</v>
      </c>
      <c r="G38" s="11">
        <f>GetHumRatioFromRelHum($A38,G$4,$E$1)*1000</f>
        <v>5.6314325701925512</v>
      </c>
      <c r="H38" s="11">
        <f>GetHumRatioFromRelHum($A38,H$4,$E$1)*1000</f>
        <v>4.4970023888776858</v>
      </c>
      <c r="I38" s="11">
        <f>GetHumRatioFromRelHum($A38,I$4,$E$1)*1000</f>
        <v>3.3666660825458181</v>
      </c>
      <c r="J38" s="11">
        <f>GetHumRatioFromRelHum($A38,J$4,$E$1)*1000</f>
        <v>2.2404015304536875</v>
      </c>
      <c r="K38" s="11">
        <f>GetHumRatioFromRelHum($A38,K$4,$E$1)*1000</f>
        <v>1.1181867709404134</v>
      </c>
      <c r="L38" s="11">
        <f>IF(GetHumRatioFromEnthalpyAndTDryBulb(L$4*1000,$A38)*1000&lt;=$B38+$J$1,GetHumRatioFromEnthalpyAndTDryBulb(L$4*1000,$A38)*1000)</f>
        <v>-2.408762585152286</v>
      </c>
      <c r="M38" s="11">
        <f>IF(GetHumRatioFromEnthalpyAndTDryBulb(M$4*1000,$A38)*1000&lt;=$B38+$J$1,GetHumRatioFromEnthalpyAndTDryBulb(M$4*1000,$A38)*1000)</f>
        <v>5.4940018018302794</v>
      </c>
      <c r="N38" s="11"/>
      <c r="O38" s="11"/>
      <c r="P38" s="11"/>
      <c r="Q38" s="11"/>
      <c r="R38" s="13">
        <f t="shared" si="6"/>
        <v>0.9488427011391275</v>
      </c>
      <c r="S38" s="13">
        <f t="shared" si="6"/>
        <v>5.1706734954073532</v>
      </c>
      <c r="T38" s="13">
        <f t="shared" si="6"/>
        <v>10.231808318176778</v>
      </c>
      <c r="U38" s="13" t="e">
        <f t="shared" si="6"/>
        <v>#N/A</v>
      </c>
      <c r="V38" s="13" t="e">
        <f t="shared" si="6"/>
        <v>#N/A</v>
      </c>
      <c r="W38" s="13" t="e">
        <f t="shared" si="6"/>
        <v>#N/A</v>
      </c>
      <c r="X38" s="13" t="e">
        <f t="shared" si="6"/>
        <v>#N/A</v>
      </c>
      <c r="Y38" s="11">
        <f>IF(GetHumRatioFromVapPres(Y$4*1000,$E$1)&lt;GetSatHumRatio($A38,$E$1)+$J$1/1000,GetHumRatioFromVapPres(Y$4*1000,$E$1)*1000)</f>
        <v>6.199302267630201</v>
      </c>
      <c r="Z38" s="11">
        <f>IF(GetHumRatioFromVapPres(Z$4*1000,$E$1)&lt;GetSatHumRatio($A38,$E$1)+$J$1/1000,GetHumRatioFromVapPres(Z$4*1000,$E$1)*1000)</f>
        <v>12.523433173923985</v>
      </c>
      <c r="AA38" s="11"/>
      <c r="AB38" s="11"/>
      <c r="AC38" s="11"/>
    </row>
    <row r="39" spans="1:29" x14ac:dyDescent="0.25">
      <c r="A39" s="2">
        <f t="shared" ref="A39:A66" si="7">A38+0.5</f>
        <v>16.5</v>
      </c>
      <c r="B39" s="10">
        <f>GetSatHumRatio(A39,$E$1)*1000</f>
        <v>11.740999312367261</v>
      </c>
      <c r="C39" s="11">
        <f>GetHumRatioFromRelHum(A39,$C$4,$E$1)*1000</f>
        <v>10.546988908416507</v>
      </c>
      <c r="D39" s="11">
        <f>GetHumRatioFromRelHum($A39,D$4,$E$1)*1000</f>
        <v>9.3574696234895818</v>
      </c>
      <c r="E39" s="11">
        <f>GetHumRatioFromRelHum($A39,E$4,$E$1)*1000</f>
        <v>8.1724161659883183</v>
      </c>
      <c r="F39" s="11">
        <f>GetHumRatioFromRelHum($A39,F$4,$E$1)*1000</f>
        <v>6.9918034338638817</v>
      </c>
      <c r="G39" s="11">
        <f>GetHumRatioFromRelHum($A39,G$4,$E$1)*1000</f>
        <v>5.8156065128443455</v>
      </c>
      <c r="H39" s="11">
        <f>GetHumRatioFromRelHum($A39,H$4,$E$1)*1000</f>
        <v>4.6438006746821259</v>
      </c>
      <c r="I39" s="11">
        <f>GetHumRatioFromRelHum($A39,I$4,$E$1)*1000</f>
        <v>3.4763613754210194</v>
      </c>
      <c r="J39" s="11">
        <f>GetHumRatioFromRelHum($A39,J$4,$E$1)*1000</f>
        <v>2.3132642536825649</v>
      </c>
      <c r="K39" s="11">
        <f>GetHumRatioFromRelHum($A39,K$4,$E$1)*1000</f>
        <v>1.1544851289714884</v>
      </c>
      <c r="L39" s="11">
        <f>IF(GetHumRatioFromEnthalpyAndTDryBulb(L$4*1000,$A39)*1000&lt;=$B39+$J$1,GetHumRatioFromEnthalpyAndTDryBulb(L$4*1000,$A39)*1000)</f>
        <v>-2.6065592548850764</v>
      </c>
      <c r="M39" s="11">
        <f>IF(GetHumRatioFromEnthalpyAndTDryBulb(M$4*1000,$A39)*1000&lt;=$B39+$J$1,GetHumRatioFromEnthalpyAndTDryBulb(M$4*1000,$A39)*1000)</f>
        <v>5.2933021025480995</v>
      </c>
      <c r="N39" s="11">
        <f>IF(GetHumRatioFromEnthalpyAndTDryBulb(N$4*1000,$A39)*1000&lt;=$B39+$J$1,GetHumRatioFromEnthalpyAndTDryBulb(N$4*1000,$A39)*1000)</f>
        <v>13.193163459981276</v>
      </c>
      <c r="O39" s="11"/>
      <c r="P39" s="11"/>
      <c r="Q39" s="11"/>
      <c r="R39" s="13">
        <f t="shared" ref="R39:X70" si="8">GetHumRatioFromTWetBulb($A39,R$4,$E$1)*1000</f>
        <v>0.74815349798468056</v>
      </c>
      <c r="S39" s="13">
        <f t="shared" si="8"/>
        <v>4.9667203233631865</v>
      </c>
      <c r="T39" s="13">
        <f t="shared" si="8"/>
        <v>10.024219682859066</v>
      </c>
      <c r="U39" s="13" t="e">
        <f t="shared" si="8"/>
        <v>#N/A</v>
      </c>
      <c r="V39" s="13" t="e">
        <f t="shared" si="8"/>
        <v>#N/A</v>
      </c>
      <c r="W39" s="13" t="e">
        <f t="shared" si="8"/>
        <v>#N/A</v>
      </c>
      <c r="X39" s="13" t="e">
        <f t="shared" si="8"/>
        <v>#N/A</v>
      </c>
      <c r="Y39" s="11">
        <f>IF(GetHumRatioFromVapPres(Y$4*1000,$E$1)&lt;GetSatHumRatio($A39,$E$1)+$J$1/1000,GetHumRatioFromVapPres(Y$4*1000,$E$1)*1000)</f>
        <v>6.199302267630201</v>
      </c>
      <c r="Z39" s="11">
        <f>IF(GetHumRatioFromVapPres(Z$4*1000,$E$1)&lt;GetSatHumRatio($A39,$E$1)+$J$1/1000,GetHumRatioFromVapPres(Z$4*1000,$E$1)*1000)</f>
        <v>12.523433173923985</v>
      </c>
      <c r="AA39" s="11"/>
      <c r="AB39" s="11"/>
      <c r="AC39" s="11"/>
    </row>
    <row r="40" spans="1:29" x14ac:dyDescent="0.25">
      <c r="A40" s="2">
        <f t="shared" si="7"/>
        <v>17</v>
      </c>
      <c r="B40" s="10">
        <f>GetSatHumRatio(A40,$E$1)*1000</f>
        <v>12.127309808660099</v>
      </c>
      <c r="C40" s="11">
        <f>GetHumRatioFromRelHum(A40,$C$4,$E$1)*1000</f>
        <v>10.893337900771114</v>
      </c>
      <c r="D40" s="11">
        <f>GetHumRatioFromRelHum($A40,D$4,$E$1)*1000</f>
        <v>9.6641595443179575</v>
      </c>
      <c r="E40" s="11">
        <f>GetHumRatioFromRelHum($A40,E$4,$E$1)*1000</f>
        <v>8.4397468615296276</v>
      </c>
      <c r="F40" s="11">
        <f>GetHumRatioFromRelHum($A40,F$4,$E$1)*1000</f>
        <v>7.220072190387854</v>
      </c>
      <c r="G40" s="11">
        <f>GetHumRatioFromRelHum($A40,G$4,$E$1)*1000</f>
        <v>6.0051080825439609</v>
      </c>
      <c r="H40" s="11">
        <f>GetHumRatioFromRelHum($A40,H$4,$E$1)*1000</f>
        <v>4.7948273012597635</v>
      </c>
      <c r="I40" s="11">
        <f>GetHumRatioFromRelHum($A40,I$4,$E$1)*1000</f>
        <v>3.5892028193722609</v>
      </c>
      <c r="J40" s="11">
        <f>GetHumRatioFromRelHum($A40,J$4,$E$1)*1000</f>
        <v>2.3882078172817685</v>
      </c>
      <c r="K40" s="11">
        <f>GetHumRatioFromRelHum($A40,K$4,$E$1)*1000</f>
        <v>1.1918156809631673</v>
      </c>
      <c r="L40" s="11">
        <f>IF(GetHumRatioFromEnthalpyAndTDryBulb(L$4*1000,$A40)*1000&lt;=$B40+$J$1,GetHumRatioFromEnthalpyAndTDryBulb(L$4*1000,$A40)*1000)</f>
        <v>-2.8042106593172291</v>
      </c>
      <c r="M40" s="11">
        <f>IF(GetHumRatioFromEnthalpyAndTDryBulb(M$4*1000,$A40)*1000&lt;=$B40+$J$1,GetHumRatioFromEnthalpyAndTDryBulb(M$4*1000,$A40)*1000)</f>
        <v>5.0927498006017489</v>
      </c>
      <c r="N40" s="11">
        <f>IF(GetHumRatioFromEnthalpyAndTDryBulb(N$4*1000,$A40)*1000&lt;=$B40+$J$1,GetHumRatioFromEnthalpyAndTDryBulb(N$4*1000,$A40)*1000)</f>
        <v>12.989710260520724</v>
      </c>
      <c r="O40" s="11"/>
      <c r="P40" s="11"/>
      <c r="Q40" s="11"/>
      <c r="R40" s="13">
        <f t="shared" si="8"/>
        <v>0.54761291266040724</v>
      </c>
      <c r="S40" s="13">
        <f t="shared" si="8"/>
        <v>4.7629194553948837</v>
      </c>
      <c r="T40" s="13">
        <f t="shared" si="8"/>
        <v>9.816787380107435</v>
      </c>
      <c r="U40" s="13" t="e">
        <f t="shared" si="8"/>
        <v>#N/A</v>
      </c>
      <c r="V40" s="13" t="e">
        <f t="shared" si="8"/>
        <v>#N/A</v>
      </c>
      <c r="W40" s="13" t="e">
        <f t="shared" si="8"/>
        <v>#N/A</v>
      </c>
      <c r="X40" s="13" t="e">
        <f t="shared" si="8"/>
        <v>#N/A</v>
      </c>
      <c r="Y40" s="11">
        <f>IF(GetHumRatioFromVapPres(Y$4*1000,$E$1)&lt;GetSatHumRatio($A40,$E$1)+$J$1/1000,GetHumRatioFromVapPres(Y$4*1000,$E$1)*1000)</f>
        <v>6.199302267630201</v>
      </c>
      <c r="Z40" s="11">
        <f>IF(GetHumRatioFromVapPres(Z$4*1000,$E$1)&lt;GetSatHumRatio($A40,$E$1)+$J$1/1000,GetHumRatioFromVapPres(Z$4*1000,$E$1)*1000)</f>
        <v>12.523433173923985</v>
      </c>
      <c r="AA40" s="11"/>
      <c r="AB40" s="11"/>
      <c r="AC40" s="11"/>
    </row>
    <row r="41" spans="1:29" x14ac:dyDescent="0.25">
      <c r="A41" s="2">
        <f t="shared" si="7"/>
        <v>17.5</v>
      </c>
      <c r="B41" s="10">
        <f>GetSatHumRatio(A41,$E$1)*1000</f>
        <v>12.525003200193002</v>
      </c>
      <c r="C41" s="11">
        <f>GetHumRatioFromRelHum(A41,$C$4,$E$1)*1000</f>
        <v>11.24984744035312</v>
      </c>
      <c r="D41" s="11">
        <f>GetHumRatioFromRelHum($A41,D$4,$E$1)*1000</f>
        <v>9.9798070075871053</v>
      </c>
      <c r="E41" s="11">
        <f>GetHumRatioFromRelHum($A41,E$4,$E$1)*1000</f>
        <v>8.7148511830687312</v>
      </c>
      <c r="F41" s="11">
        <f>GetHumRatioFromRelHum($A41,F$4,$E$1)*1000</f>
        <v>7.4549494934461169</v>
      </c>
      <c r="G41" s="11">
        <f>GetHumRatioFromRelHum($A41,G$4,$E$1)*1000</f>
        <v>6.2000717083946064</v>
      </c>
      <c r="H41" s="11">
        <f>GetHumRatioFromRelHum($A41,H$4,$E$1)*1000</f>
        <v>4.950187838198902</v>
      </c>
      <c r="I41" s="11">
        <f>GetHumRatioFromRelHum($A41,I$4,$E$1)*1000</f>
        <v>3.7052681313639879</v>
      </c>
      <c r="J41" s="11">
        <f>GetHumRatioFromRelHum($A41,J$4,$E$1)*1000</f>
        <v>2.4652830722544792</v>
      </c>
      <c r="K41" s="11">
        <f>GetHumRatioFromRelHum($A41,K$4,$E$1)*1000</f>
        <v>1.2302033787619646</v>
      </c>
      <c r="L41" s="11">
        <f>IF(GetHumRatioFromEnthalpyAndTDryBulb(L$4*1000,$A41)*1000&lt;=$B41+$J$1,GetHumRatioFromEnthalpyAndTDryBulb(L$4*1000,$A41)*1000)</f>
        <v>-3.0017169584180299</v>
      </c>
      <c r="M41" s="11">
        <f>IF(GetHumRatioFromEnthalpyAndTDryBulb(M$4*1000,$A41)*1000&lt;=$B41+$J$1,GetHumRatioFromEnthalpyAndTDryBulb(M$4*1000,$A41)*1000)</f>
        <v>4.8923447336740935</v>
      </c>
      <c r="N41" s="11">
        <f>IF(GetHumRatioFromEnthalpyAndTDryBulb(N$4*1000,$A41)*1000&lt;=$B41+$J$1,GetHumRatioFromEnthalpyAndTDryBulb(N$4*1000,$A41)*1000)</f>
        <v>12.786406425766215</v>
      </c>
      <c r="O41" s="11"/>
      <c r="P41" s="11"/>
      <c r="Q41" s="11"/>
      <c r="R41" s="13">
        <f t="shared" si="8"/>
        <v>0.3472207801418512</v>
      </c>
      <c r="S41" s="13">
        <f t="shared" si="8"/>
        <v>4.5592707209642294</v>
      </c>
      <c r="T41" s="13">
        <f t="shared" si="8"/>
        <v>9.6095112333900268</v>
      </c>
      <c r="U41" s="13" t="e">
        <f t="shared" si="8"/>
        <v>#N/A</v>
      </c>
      <c r="V41" s="13" t="e">
        <f t="shared" si="8"/>
        <v>#N/A</v>
      </c>
      <c r="W41" s="13" t="e">
        <f t="shared" si="8"/>
        <v>#N/A</v>
      </c>
      <c r="X41" s="13" t="e">
        <f t="shared" si="8"/>
        <v>#N/A</v>
      </c>
      <c r="Y41" s="11">
        <f>IF(GetHumRatioFromVapPres(Y$4*1000,$E$1)&lt;GetSatHumRatio($A41,$E$1)+$J$1/1000,GetHumRatioFromVapPres(Y$4*1000,$E$1)*1000)</f>
        <v>6.199302267630201</v>
      </c>
      <c r="Z41" s="11">
        <f>IF(GetHumRatioFromVapPres(Z$4*1000,$E$1)&lt;GetSatHumRatio($A41,$E$1)+$J$1/1000,GetHumRatioFromVapPres(Z$4*1000,$E$1)*1000)</f>
        <v>12.523433173923985</v>
      </c>
      <c r="AA41" s="11"/>
      <c r="AB41" s="11"/>
      <c r="AC41" s="11"/>
    </row>
    <row r="42" spans="1:29" x14ac:dyDescent="0.25">
      <c r="A42" s="2">
        <f t="shared" si="7"/>
        <v>18</v>
      </c>
      <c r="B42" s="10">
        <f>GetSatHumRatio(A42,$E$1)*1000</f>
        <v>12.93438143427635</v>
      </c>
      <c r="C42" s="11">
        <f>GetHumRatioFromRelHum(A42,$C$4,$E$1)*1000</f>
        <v>11.616784254505072</v>
      </c>
      <c r="D42" s="11">
        <f>GetHumRatioFromRelHum($A42,D$4,$E$1)*1000</f>
        <v>10.304644699923788</v>
      </c>
      <c r="E42" s="11">
        <f>GetHumRatioFromRelHum($A42,E$4,$E$1)*1000</f>
        <v>8.9979289315341546</v>
      </c>
      <c r="F42" s="11">
        <f>GetHumRatioFromRelHum($A42,F$4,$E$1)*1000</f>
        <v>7.696603389510793</v>
      </c>
      <c r="G42" s="11">
        <f>GetHumRatioFromRelHum($A42,G$4,$E$1)*1000</f>
        <v>6.4006347903282439</v>
      </c>
      <c r="H42" s="11">
        <f>GetHumRatioFromRelHum($A42,H$4,$E$1)*1000</f>
        <v>5.109990123923299</v>
      </c>
      <c r="I42" s="11">
        <f>GetHumRatioFromRelHum($A42,I$4,$E$1)*1000</f>
        <v>3.8246366508922698</v>
      </c>
      <c r="J42" s="11">
        <f>GetHumRatioFromRelHum($A42,J$4,$E$1)*1000</f>
        <v>2.5445418997226317</v>
      </c>
      <c r="K42" s="11">
        <f>GetHumRatioFromRelHum($A42,K$4,$E$1)*1000</f>
        <v>1.2696736640585748</v>
      </c>
      <c r="L42" s="11">
        <f>IF(GetHumRatioFromEnthalpyAndTDryBulb(L$4*1000,$A42)*1000&lt;=$B42+$J$1,GetHumRatioFromEnthalpyAndTDryBulb(L$4*1000,$A42)*1000)</f>
        <v>-3.1990783119219723</v>
      </c>
      <c r="M42" s="11">
        <f>IF(GetHumRatioFromEnthalpyAndTDryBulb(M$4*1000,$A42)*1000&lt;=$B42+$J$1,GetHumRatioFromEnthalpyAndTDryBulb(M$4*1000,$A42)*1000)</f>
        <v>4.6920867396862471</v>
      </c>
      <c r="N42" s="11">
        <f>IF(GetHumRatioFromEnthalpyAndTDryBulb(N$4*1000,$A42)*1000&lt;=$B42+$J$1,GetHumRatioFromEnthalpyAndTDryBulb(N$4*1000,$A42)*1000)</f>
        <v>12.583251791294465</v>
      </c>
      <c r="O42" s="11"/>
      <c r="P42" s="11"/>
      <c r="Q42" s="11"/>
      <c r="R42" s="13">
        <f t="shared" si="8"/>
        <v>0.14697693564879083</v>
      </c>
      <c r="S42" s="13">
        <f t="shared" si="8"/>
        <v>4.3557739497875172</v>
      </c>
      <c r="T42" s="13">
        <f t="shared" si="8"/>
        <v>9.4023910664406714</v>
      </c>
      <c r="U42" s="13" t="e">
        <f t="shared" si="8"/>
        <v>#N/A</v>
      </c>
      <c r="V42" s="13" t="e">
        <f t="shared" si="8"/>
        <v>#N/A</v>
      </c>
      <c r="W42" s="13" t="e">
        <f t="shared" si="8"/>
        <v>#N/A</v>
      </c>
      <c r="X42" s="13" t="e">
        <f t="shared" si="8"/>
        <v>#N/A</v>
      </c>
      <c r="Y42" s="11">
        <f>IF(GetHumRatioFromVapPres(Y$4*1000,$E$1)&lt;GetSatHumRatio($A42,$E$1)+$J$1/1000,GetHumRatioFromVapPres(Y$4*1000,$E$1)*1000)</f>
        <v>6.199302267630201</v>
      </c>
      <c r="Z42" s="11">
        <f>IF(GetHumRatioFromVapPres(Z$4*1000,$E$1)&lt;GetSatHumRatio($A42,$E$1)+$J$1/1000,GetHumRatioFromVapPres(Z$4*1000,$E$1)*1000)</f>
        <v>12.523433173923985</v>
      </c>
      <c r="AA42" s="11"/>
      <c r="AB42" s="11"/>
      <c r="AC42" s="11"/>
    </row>
    <row r="43" spans="1:29" x14ac:dyDescent="0.25">
      <c r="A43" s="2">
        <f t="shared" si="7"/>
        <v>18.5</v>
      </c>
      <c r="B43" s="10">
        <f>GetSatHumRatio(A43,$E$1)*1000</f>
        <v>13.355754042752379</v>
      </c>
      <c r="C43" s="11">
        <f>GetHumRatioFromRelHum(A43,$C$4,$E$1)*1000</f>
        <v>11.994421610939213</v>
      </c>
      <c r="D43" s="11">
        <f>GetHumRatioFromRelHum($A43,D$4,$E$1)*1000</f>
        <v>10.638910873331737</v>
      </c>
      <c r="E43" s="11">
        <f>GetHumRatioFromRelHum($A43,E$4,$E$1)*1000</f>
        <v>9.2891845651796512</v>
      </c>
      <c r="F43" s="11">
        <f>GetHumRatioFromRelHum($A43,F$4,$E$1)*1000</f>
        <v>7.9452057390984603</v>
      </c>
      <c r="G43" s="11">
        <f>GetHumRatioFromRelHum($A43,G$4,$E$1)*1000</f>
        <v>6.6069377616980729</v>
      </c>
      <c r="H43" s="11">
        <f>GetHumRatioFromRelHum($A43,H$4,$E$1)*1000</f>
        <v>5.274344310254321</v>
      </c>
      <c r="I43" s="11">
        <f>GetHumRatioFromRelHum($A43,I$4,$E$1)*1000</f>
        <v>3.9473893694226971</v>
      </c>
      <c r="J43" s="11">
        <f>GetHumRatioFromRelHum($A43,J$4,$E$1)*1000</f>
        <v>2.6260372279937445</v>
      </c>
      <c r="K43" s="11">
        <f>GetHumRatioFromRelHum($A43,K$4,$E$1)*1000</f>
        <v>1.3102524756894403</v>
      </c>
      <c r="L43" s="11">
        <f>IF(GetHumRatioFromEnthalpyAndTDryBulb(L$4*1000,$A43)*1000&lt;=$B43+$J$1,GetHumRatioFromEnthalpyAndTDryBulb(L$4*1000,$A43)*1000)</f>
        <v>-3.3962948793291816</v>
      </c>
      <c r="M43" s="11">
        <f>IF(GetHumRatioFromEnthalpyAndTDryBulb(M$4*1000,$A43)*1000&lt;=$B43+$J$1,GetHumRatioFromEnthalpyAndTDryBulb(M$4*1000,$A43)*1000)</f>
        <v>4.4919756567971261</v>
      </c>
      <c r="N43" s="11">
        <f>IF(GetHumRatioFromEnthalpyAndTDryBulb(N$4*1000,$A43)*1000&lt;=$B43+$J$1,GetHumRatioFromEnthalpyAndTDryBulb(N$4*1000,$A43)*1000)</f>
        <v>12.380246192923433</v>
      </c>
      <c r="O43" s="11"/>
      <c r="P43" s="11"/>
      <c r="Q43" s="11"/>
      <c r="R43" s="13">
        <f t="shared" si="8"/>
        <v>9.9999999999999991E-5</v>
      </c>
      <c r="S43" s="13">
        <f t="shared" si="8"/>
        <v>4.1524289718350795</v>
      </c>
      <c r="T43" s="13">
        <f t="shared" si="8"/>
        <v>9.1954267032583843</v>
      </c>
      <c r="U43" s="13" t="e">
        <f t="shared" si="8"/>
        <v>#N/A</v>
      </c>
      <c r="V43" s="13" t="e">
        <f t="shared" si="8"/>
        <v>#N/A</v>
      </c>
      <c r="W43" s="13" t="e">
        <f t="shared" si="8"/>
        <v>#N/A</v>
      </c>
      <c r="X43" s="13" t="e">
        <f t="shared" si="8"/>
        <v>#N/A</v>
      </c>
      <c r="Y43" s="11">
        <f>IF(GetHumRatioFromVapPres(Y$4*1000,$E$1)&lt;GetSatHumRatio($A43,$E$1)+$J$1/1000,GetHumRatioFromVapPres(Y$4*1000,$E$1)*1000)</f>
        <v>6.199302267630201</v>
      </c>
      <c r="Z43" s="11">
        <f>IF(GetHumRatioFromVapPres(Z$4*1000,$E$1)&lt;GetSatHumRatio($A43,$E$1)+$J$1/1000,GetHumRatioFromVapPres(Z$4*1000,$E$1)*1000)</f>
        <v>12.523433173923985</v>
      </c>
      <c r="AA43" s="11"/>
      <c r="AB43" s="11"/>
      <c r="AC43" s="11"/>
    </row>
    <row r="44" spans="1:29" x14ac:dyDescent="0.25">
      <c r="A44" s="2">
        <f t="shared" si="7"/>
        <v>19</v>
      </c>
      <c r="B44" s="10">
        <f>GetSatHumRatio(A44,$E$1)*1000</f>
        <v>13.789438351310405</v>
      </c>
      <c r="C44" s="11">
        <f>GetHumRatioFromRelHum(A44,$C$4,$E$1)*1000</f>
        <v>12.383039490468787</v>
      </c>
      <c r="D44" s="11">
        <f>GetHumRatioFromRelHum($A44,D$4,$E$1)*1000</f>
        <v>10.98284948531575</v>
      </c>
      <c r="E44" s="11">
        <f>GetHumRatioFromRelHum($A44,E$4,$E$1)*1000</f>
        <v>9.5888273108789477</v>
      </c>
      <c r="F44" s="11">
        <f>GetHumRatioFromRelHum($A44,F$4,$E$1)*1000</f>
        <v>8.2009323028213732</v>
      </c>
      <c r="G44" s="11">
        <f>GetHumRatioFromRelHum($A44,G$4,$E$1)*1000</f>
        <v>6.8191241534872908</v>
      </c>
      <c r="H44" s="11">
        <f>GetHumRatioFromRelHum($A44,H$4,$E$1)*1000</f>
        <v>5.4433629080000552</v>
      </c>
      <c r="I44" s="11">
        <f>GetHumRatioFromRelHum($A44,I$4,$E$1)*1000</f>
        <v>4.0736089604110823</v>
      </c>
      <c r="J44" s="11">
        <f>GetHumRatioFromRelHum($A44,J$4,$E$1)*1000</f>
        <v>2.7098230498991311</v>
      </c>
      <c r="K44" s="11">
        <f>GetHumRatioFromRelHum($A44,K$4,$E$1)*1000</f>
        <v>1.3519662570191566</v>
      </c>
      <c r="L44" s="11">
        <f>IF(GetHumRatioFromEnthalpyAndTDryBulb(L$4*1000,$A44)*1000&lt;=$B44+$J$1,GetHumRatioFromEnthalpyAndTDryBulb(L$4*1000,$A44)*1000)</f>
        <v>-3.5933668199058486</v>
      </c>
      <c r="M44" s="11">
        <f>IF(GetHumRatioFromEnthalpyAndTDryBulb(M$4*1000,$A44)*1000&lt;=$B44+$J$1,GetHumRatioFromEnthalpyAndTDryBulb(M$4*1000,$A44)*1000)</f>
        <v>4.2920113234030133</v>
      </c>
      <c r="N44" s="11">
        <f>IF(GetHumRatioFromEnthalpyAndTDryBulb(N$4*1000,$A44)*1000&lt;=$B44+$J$1,GetHumRatioFromEnthalpyAndTDryBulb(N$4*1000,$A44)*1000)</f>
        <v>12.177389466711876</v>
      </c>
      <c r="O44" s="11"/>
      <c r="P44" s="11"/>
      <c r="Q44" s="11"/>
      <c r="R44" s="13">
        <f t="shared" si="8"/>
        <v>9.9999999999999991E-5</v>
      </c>
      <c r="S44" s="13">
        <f t="shared" si="8"/>
        <v>3.9492356173308103</v>
      </c>
      <c r="T44" s="13">
        <f t="shared" si="8"/>
        <v>8.9886179681068672</v>
      </c>
      <c r="U44" s="13" t="e">
        <f t="shared" si="8"/>
        <v>#N/A</v>
      </c>
      <c r="V44" s="13" t="e">
        <f t="shared" si="8"/>
        <v>#N/A</v>
      </c>
      <c r="W44" s="13" t="e">
        <f t="shared" si="8"/>
        <v>#N/A</v>
      </c>
      <c r="X44" s="13" t="e">
        <f t="shared" si="8"/>
        <v>#N/A</v>
      </c>
      <c r="Y44" s="11">
        <f>IF(GetHumRatioFromVapPres(Y$4*1000,$E$1)&lt;GetSatHumRatio($A44,$E$1)+$J$1/1000,GetHumRatioFromVapPres(Y$4*1000,$E$1)*1000)</f>
        <v>6.199302267630201</v>
      </c>
      <c r="Z44" s="11">
        <f>IF(GetHumRatioFromVapPres(Z$4*1000,$E$1)&lt;GetSatHumRatio($A44,$E$1)+$J$1/1000,GetHumRatioFromVapPres(Z$4*1000,$E$1)*1000)</f>
        <v>12.523433173923985</v>
      </c>
      <c r="AA44" s="11"/>
      <c r="AB44" s="11"/>
      <c r="AC44" s="11"/>
    </row>
    <row r="45" spans="1:29" x14ac:dyDescent="0.25">
      <c r="A45" s="2">
        <f t="shared" si="7"/>
        <v>19.5</v>
      </c>
      <c r="B45" s="10">
        <f>GetSatHumRatio(A45,$E$1)*1000</f>
        <v>14.235759696355814</v>
      </c>
      <c r="C45" s="11">
        <f>GetHumRatioFromRelHum(A45,$C$4,$E$1)*1000</f>
        <v>12.782924765689764</v>
      </c>
      <c r="D45" s="11">
        <f>GetHumRatioFromRelHum($A45,D$4,$E$1)*1000</f>
        <v>11.336710343583956</v>
      </c>
      <c r="E45" s="11">
        <f>GetHumRatioFromRelHum($A45,E$4,$E$1)*1000</f>
        <v>9.8970712788398174</v>
      </c>
      <c r="F45" s="11">
        <f>GetHumRatioFromRelHum($A45,F$4,$E$1)*1000</f>
        <v>8.4639628298963618</v>
      </c>
      <c r="G45" s="11">
        <f>GetHumRatioFromRelHum($A45,G$4,$E$1)*1000</f>
        <v>7.0373406601951025</v>
      </c>
      <c r="H45" s="11">
        <f>GetHumRatioFromRelHum($A45,H$4,$E$1)*1000</f>
        <v>5.6171608336077847</v>
      </c>
      <c r="I45" s="11">
        <f>GetHumRatioFromRelHum($A45,I$4,$E$1)*1000</f>
        <v>4.2033798099259121</v>
      </c>
      <c r="J45" s="11">
        <f>GetHumRatioFromRelHum($A45,J$4,$E$1)*1000</f>
        <v>2.7959544404111014</v>
      </c>
      <c r="K45" s="11">
        <f>GetHumRatioFromRelHum($A45,K$4,$E$1)*1000</f>
        <v>1.3948419634053073</v>
      </c>
      <c r="L45" s="11">
        <f>IF(GetHumRatioFromEnthalpyAndTDryBulb(L$4*1000,$A45)*1000&lt;=$B45+$J$1,GetHumRatioFromEnthalpyAndTDryBulb(L$4*1000,$A45)*1000)</f>
        <v>-3.7902942926846572</v>
      </c>
      <c r="M45" s="11">
        <f>IF(GetHumRatioFromEnthalpyAndTDryBulb(M$4*1000,$A45)*1000&lt;=$B45+$J$1,GetHumRatioFromEnthalpyAndTDryBulb(M$4*1000,$A45)*1000)</f>
        <v>4.092193578137131</v>
      </c>
      <c r="N45" s="11">
        <f>IF(GetHumRatioFromEnthalpyAndTDryBulb(N$4*1000,$A45)*1000&lt;=$B45+$J$1,GetHumRatioFromEnthalpyAndTDryBulb(N$4*1000,$A45)*1000)</f>
        <v>11.97468144895892</v>
      </c>
      <c r="O45" s="11"/>
      <c r="P45" s="11"/>
      <c r="Q45" s="11"/>
      <c r="R45" s="13">
        <f t="shared" si="8"/>
        <v>9.9999999999999991E-5</v>
      </c>
      <c r="S45" s="13">
        <f t="shared" si="8"/>
        <v>3.7461937167517005</v>
      </c>
      <c r="T45" s="13">
        <f t="shared" si="8"/>
        <v>8.7819646855140263</v>
      </c>
      <c r="U45" s="13" t="e">
        <f t="shared" si="8"/>
        <v>#N/A</v>
      </c>
      <c r="V45" s="13" t="e">
        <f t="shared" si="8"/>
        <v>#N/A</v>
      </c>
      <c r="W45" s="13" t="e">
        <f t="shared" si="8"/>
        <v>#N/A</v>
      </c>
      <c r="X45" s="13" t="e">
        <f t="shared" si="8"/>
        <v>#N/A</v>
      </c>
      <c r="Y45" s="11">
        <f>IF(GetHumRatioFromVapPres(Y$4*1000,$E$1)&lt;GetSatHumRatio($A45,$E$1)+$J$1/1000,GetHumRatioFromVapPres(Y$4*1000,$E$1)*1000)</f>
        <v>6.199302267630201</v>
      </c>
      <c r="Z45" s="11">
        <f>IF(GetHumRatioFromVapPres(Z$4*1000,$E$1)&lt;GetSatHumRatio($A45,$E$1)+$J$1/1000,GetHumRatioFromVapPres(Z$4*1000,$E$1)*1000)</f>
        <v>12.523433173923985</v>
      </c>
      <c r="AA45" s="11"/>
      <c r="AB45" s="11"/>
      <c r="AC45" s="11"/>
    </row>
    <row r="46" spans="1:29" x14ac:dyDescent="0.25">
      <c r="A46" s="2">
        <f t="shared" si="7"/>
        <v>20</v>
      </c>
      <c r="B46" s="10">
        <f>GetSatHumRatio(A46,$E$1)*1000</f>
        <v>14.69505164977836</v>
      </c>
      <c r="C46" s="11">
        <f>GetHumRatioFromRelHum(A46,$C$4,$E$1)*1000</f>
        <v>13.194371385876691</v>
      </c>
      <c r="D46" s="11">
        <f>GetHumRatioFromRelHum($A46,D$4,$E$1)*1000</f>
        <v>11.700749255524066</v>
      </c>
      <c r="E46" s="11">
        <f>GetHumRatioFromRelHum($A46,E$4,$E$1)*1000</f>
        <v>10.214135580878256</v>
      </c>
      <c r="F46" s="11">
        <f>GetHumRatioFromRelHum($A46,F$4,$E$1)*1000</f>
        <v>8.7344811492080332</v>
      </c>
      <c r="G46" s="11">
        <f>GetHumRatioFromRelHum($A46,G$4,$E$1)*1000</f>
        <v>7.2617372074625743</v>
      </c>
      <c r="H46" s="11">
        <f>GetHumRatioFromRelHum($A46,H$4,$E$1)*1000</f>
        <v>5.7958554569168257</v>
      </c>
      <c r="I46" s="11">
        <f>GetHumRatioFromRelHum($A46,I$4,$E$1)*1000</f>
        <v>4.3367880478915097</v>
      </c>
      <c r="J46" s="11">
        <f>GetHumRatioFromRelHum($A46,J$4,$E$1)*1000</f>
        <v>2.8844875745466161</v>
      </c>
      <c r="K46" s="11">
        <f>GetHumRatioFromRelHum($A46,K$4,$E$1)*1000</f>
        <v>1.4389070697471498</v>
      </c>
      <c r="L46" s="11">
        <f>IF(GetHumRatioFromEnthalpyAndTDryBulb(L$4*1000,$A46)*1000&lt;=$B46+$J$1,GetHumRatioFromEnthalpyAndTDryBulb(L$4*1000,$A46)*1000)</f>
        <v>-3.9870774564652125</v>
      </c>
      <c r="M46" s="11">
        <f>IF(GetHumRatioFromEnthalpyAndTDryBulb(M$4*1000,$A46)*1000&lt;=$B46+$J$1,GetHumRatioFromEnthalpyAndTDryBulb(M$4*1000,$A46)*1000)</f>
        <v>3.8925222598691986</v>
      </c>
      <c r="N46" s="11">
        <f>IF(GetHumRatioFromEnthalpyAndTDryBulb(N$4*1000,$A46)*1000&lt;=$B46+$J$1,GetHumRatioFromEnthalpyAndTDryBulb(N$4*1000,$A46)*1000)</f>
        <v>11.772121976203609</v>
      </c>
      <c r="O46" s="11"/>
      <c r="P46" s="11"/>
      <c r="Q46" s="11"/>
      <c r="R46" s="13">
        <f t="shared" si="8"/>
        <v>9.9999999999999991E-5</v>
      </c>
      <c r="S46" s="13">
        <f t="shared" si="8"/>
        <v>3.5433031008273557</v>
      </c>
      <c r="T46" s="13">
        <f t="shared" si="8"/>
        <v>8.5754666802714485</v>
      </c>
      <c r="U46" s="13">
        <f t="shared" si="8"/>
        <v>14.69505164977836</v>
      </c>
      <c r="V46" s="13" t="e">
        <f t="shared" si="8"/>
        <v>#N/A</v>
      </c>
      <c r="W46" s="13" t="e">
        <f t="shared" si="8"/>
        <v>#N/A</v>
      </c>
      <c r="X46" s="13" t="e">
        <f t="shared" si="8"/>
        <v>#N/A</v>
      </c>
      <c r="Y46" s="11">
        <f>IF(GetHumRatioFromVapPres(Y$4*1000,$E$1)&lt;GetSatHumRatio($A46,$E$1)+$J$1/1000,GetHumRatioFromVapPres(Y$4*1000,$E$1)*1000)</f>
        <v>6.199302267630201</v>
      </c>
      <c r="Z46" s="11">
        <f>IF(GetHumRatioFromVapPres(Z$4*1000,$E$1)&lt;GetSatHumRatio($A46,$E$1)+$J$1/1000,GetHumRatioFromVapPres(Z$4*1000,$E$1)*1000)</f>
        <v>12.523433173923985</v>
      </c>
      <c r="AA46" s="11"/>
      <c r="AB46" s="11"/>
      <c r="AC46" s="11"/>
    </row>
    <row r="47" spans="1:29" x14ac:dyDescent="0.25">
      <c r="A47" s="2">
        <f t="shared" si="7"/>
        <v>20.5</v>
      </c>
      <c r="B47" s="10">
        <f>GetSatHumRatio(A47,$E$1)*1000</f>
        <v>15.167656251980508</v>
      </c>
      <c r="C47" s="11">
        <f>GetHumRatioFromRelHum(A47,$C$4,$E$1)*1000</f>
        <v>13.61768056836728</v>
      </c>
      <c r="D47" s="11">
        <f>GetHumRatioFromRelHum($A47,D$4,$E$1)*1000</f>
        <v>12.075228182657085</v>
      </c>
      <c r="E47" s="11">
        <f>GetHumRatioFromRelHum($A47,E$4,$E$1)*1000</f>
        <v>10.540244452398309</v>
      </c>
      <c r="F47" s="11">
        <f>GetHumRatioFromRelHum($A47,F$4,$E$1)*1000</f>
        <v>9.0126752630259723</v>
      </c>
      <c r="G47" s="11">
        <f>GetHumRatioFromRelHum($A47,G$4,$E$1)*1000</f>
        <v>7.4924670215023585</v>
      </c>
      <c r="H47" s="11">
        <f>GetHumRatioFromRelHum($A47,H$4,$E$1)*1000</f>
        <v>5.9795666500493683</v>
      </c>
      <c r="I47" s="11">
        <f>GetHumRatioFromRelHum($A47,I$4,$E$1)*1000</f>
        <v>4.473921579971031</v>
      </c>
      <c r="J47" s="11">
        <f>GetHumRatioFromRelHum($A47,J$4,$E$1)*1000</f>
        <v>2.9754797455647028</v>
      </c>
      <c r="K47" s="11">
        <f>GetHumRatioFromRelHum($A47,K$4,$E$1)*1000</f>
        <v>1.4841895781194208</v>
      </c>
      <c r="L47" s="11">
        <f>IF(GetHumRatioFromEnthalpyAndTDryBulb(L$4*1000,$A47)*1000&lt;=$B47+$J$1,GetHumRatioFromEnthalpyAndTDryBulb(L$4*1000,$A47)*1000)</f>
        <v>-4.1837164698144642</v>
      </c>
      <c r="M47" s="11">
        <f>IF(GetHumRatioFromEnthalpyAndTDryBulb(M$4*1000,$A47)*1000&lt;=$B47+$J$1,GetHumRatioFromEnthalpyAndTDryBulb(M$4*1000,$A47)*1000)</f>
        <v>3.6929972077050008</v>
      </c>
      <c r="N47" s="11">
        <f>IF(GetHumRatioFromEnthalpyAndTDryBulb(N$4*1000,$A47)*1000&lt;=$B47+$J$1,GetHumRatioFromEnthalpyAndTDryBulb(N$4*1000,$A47)*1000)</f>
        <v>11.569710885224465</v>
      </c>
      <c r="O47" s="11"/>
      <c r="P47" s="11"/>
      <c r="Q47" s="11"/>
      <c r="R47" s="13">
        <f t="shared" si="8"/>
        <v>9.9999999999999991E-5</v>
      </c>
      <c r="S47" s="13">
        <f t="shared" si="8"/>
        <v>3.3405636005395336</v>
      </c>
      <c r="T47" s="13">
        <f t="shared" si="8"/>
        <v>8.3691237774339324</v>
      </c>
      <c r="U47" s="13">
        <f t="shared" si="8"/>
        <v>14.484632046520943</v>
      </c>
      <c r="V47" s="13" t="e">
        <f t="shared" si="8"/>
        <v>#N/A</v>
      </c>
      <c r="W47" s="13" t="e">
        <f t="shared" si="8"/>
        <v>#N/A</v>
      </c>
      <c r="X47" s="13" t="e">
        <f t="shared" si="8"/>
        <v>#N/A</v>
      </c>
      <c r="Y47" s="11">
        <f>IF(GetHumRatioFromVapPres(Y$4*1000,$E$1)&lt;GetSatHumRatio($A47,$E$1)+$J$1/1000,GetHumRatioFromVapPres(Y$4*1000,$E$1)*1000)</f>
        <v>6.199302267630201</v>
      </c>
      <c r="Z47" s="11">
        <f>IF(GetHumRatioFromVapPres(Z$4*1000,$E$1)&lt;GetSatHumRatio($A47,$E$1)+$J$1/1000,GetHumRatioFromVapPres(Z$4*1000,$E$1)*1000)</f>
        <v>12.523433173923985</v>
      </c>
      <c r="AA47" s="11"/>
      <c r="AB47" s="11"/>
      <c r="AC47" s="11"/>
    </row>
    <row r="48" spans="1:29" x14ac:dyDescent="0.25">
      <c r="A48" s="2">
        <f t="shared" si="7"/>
        <v>21</v>
      </c>
      <c r="B48" s="10">
        <f>GetSatHumRatio(A48,$E$1)*1000</f>
        <v>15.653924253548352</v>
      </c>
      <c r="C48" s="11">
        <f>GetHumRatioFromRelHum(A48,$C$4,$E$1)*1000</f>
        <v>14.053160996726799</v>
      </c>
      <c r="D48" s="11">
        <f>GetHumRatioFromRelHum($A48,D$4,$E$1)*1000</f>
        <v>12.46041540028418</v>
      </c>
      <c r="E48" s="11">
        <f>GetHumRatioFromRelHum($A48,E$4,$E$1)*1000</f>
        <v>10.875627378232146</v>
      </c>
      <c r="F48" s="11">
        <f>GetHumRatioFromRelHum($A48,F$4,$E$1)*1000</f>
        <v>9.2987374434818477</v>
      </c>
      <c r="G48" s="11">
        <f>GetHumRatioFromRelHum($A48,G$4,$E$1)*1000</f>
        <v>7.7296867004006771</v>
      </c>
      <c r="H48" s="11">
        <f>GetHumRatioFromRelHum($A48,H$4,$E$1)*1000</f>
        <v>6.1684168374797128</v>
      </c>
      <c r="I48" s="11">
        <f>GetHumRatioFromRelHum($A48,I$4,$E$1)*1000</f>
        <v>4.6148701201100151</v>
      </c>
      <c r="J48" s="11">
        <f>GetHumRatioFromRelHum($A48,J$4,$E$1)*1000</f>
        <v>3.0689893834658233</v>
      </c>
      <c r="K48" s="11">
        <f>GetHumRatioFromRelHum($A48,K$4,$E$1)*1000</f>
        <v>1.5307180254928767</v>
      </c>
      <c r="L48" s="11">
        <f>IF(GetHumRatioFromEnthalpyAndTDryBulb(L$4*1000,$A48)*1000&lt;=$B48+$J$1,GetHumRatioFromEnthalpyAndTDryBulb(L$4*1000,$A48)*1000)</f>
        <v>-4.3802114910671408</v>
      </c>
      <c r="M48" s="11">
        <f>IF(GetHumRatioFromEnthalpyAndTDryBulb(M$4*1000,$A48)*1000&lt;=$B48+$J$1,GetHumRatioFromEnthalpyAndTDryBulb(M$4*1000,$A48)*1000)</f>
        <v>3.4936182609859605</v>
      </c>
      <c r="N48" s="11">
        <f>IF(GetHumRatioFromEnthalpyAndTDryBulb(N$4*1000,$A48)*1000&lt;=$B48+$J$1,GetHumRatioFromEnthalpyAndTDryBulb(N$4*1000,$A48)*1000)</f>
        <v>11.367448013039061</v>
      </c>
      <c r="O48" s="11"/>
      <c r="P48" s="11"/>
      <c r="Q48" s="11"/>
      <c r="R48" s="13">
        <f t="shared" si="8"/>
        <v>9.9999999999999991E-5</v>
      </c>
      <c r="S48" s="13">
        <f t="shared" si="8"/>
        <v>3.1379750471216719</v>
      </c>
      <c r="T48" s="13">
        <f t="shared" si="8"/>
        <v>8.1629358023189837</v>
      </c>
      <c r="U48" s="13">
        <f t="shared" si="8"/>
        <v>14.274371778071435</v>
      </c>
      <c r="V48" s="13" t="e">
        <f t="shared" si="8"/>
        <v>#N/A</v>
      </c>
      <c r="W48" s="13" t="e">
        <f t="shared" si="8"/>
        <v>#N/A</v>
      </c>
      <c r="X48" s="13" t="e">
        <f t="shared" si="8"/>
        <v>#N/A</v>
      </c>
      <c r="Y48" s="11">
        <f>IF(GetHumRatioFromVapPres(Y$4*1000,$E$1)&lt;GetSatHumRatio($A48,$E$1)+$J$1/1000,GetHumRatioFromVapPres(Y$4*1000,$E$1)*1000)</f>
        <v>6.199302267630201</v>
      </c>
      <c r="Z48" s="11">
        <f>IF(GetHumRatioFromVapPres(Z$4*1000,$E$1)&lt;GetSatHumRatio($A48,$E$1)+$J$1/1000,GetHumRatioFromVapPres(Z$4*1000,$E$1)*1000)</f>
        <v>12.523433173923985</v>
      </c>
      <c r="AA48" s="11"/>
      <c r="AB48" s="11"/>
      <c r="AC48" s="11"/>
    </row>
    <row r="49" spans="1:29" x14ac:dyDescent="0.25">
      <c r="A49" s="2">
        <f t="shared" si="7"/>
        <v>21.5</v>
      </c>
      <c r="B49" s="10">
        <f>GetSatHumRatio(A49,$E$1)*1000</f>
        <v>16.154215365965189</v>
      </c>
      <c r="C49" s="11">
        <f>GetHumRatioFromRelHum(A49,$C$4,$E$1)*1000</f>
        <v>14.501129025996089</v>
      </c>
      <c r="D49" s="11">
        <f>GetHumRatioFromRelHum($A49,D$4,$E$1)*1000</f>
        <v>12.856585662551204</v>
      </c>
      <c r="E49" s="11">
        <f>GetHumRatioFromRelHum($A49,E$4,$E$1)*1000</f>
        <v>11.220519222500677</v>
      </c>
      <c r="F49" s="11">
        <f>GetHumRatioFromRelHum($A49,F$4,$E$1)*1000</f>
        <v>9.5928643319158926</v>
      </c>
      <c r="G49" s="11">
        <f>GetHumRatioFromRelHum($A49,G$4,$E$1)*1000</f>
        <v>7.9735562873618493</v>
      </c>
      <c r="H49" s="11">
        <f>GetHumRatioFromRelHum($A49,H$4,$E$1)*1000</f>
        <v>6.3625310473232002</v>
      </c>
      <c r="I49" s="11">
        <f>GetHumRatioFromRelHum($A49,I$4,$E$1)*1000</f>
        <v>4.7597252237614969</v>
      </c>
      <c r="J49" s="11">
        <f>GetHumRatioFromRelHum($A49,J$4,$E$1)*1000</f>
        <v>3.1650760738013228</v>
      </c>
      <c r="K49" s="11">
        <f>GetHumRatioFromRelHum($A49,K$4,$E$1)*1000</f>
        <v>1.5785214915430623</v>
      </c>
      <c r="L49" s="11">
        <f>IF(GetHumRatioFromEnthalpyAndTDryBulb(L$4*1000,$A49)*1000&lt;=$B49+$J$1,GetHumRatioFromEnthalpyAndTDryBulb(L$4*1000,$A49)*1000)</f>
        <v>-4.576562678326165</v>
      </c>
      <c r="M49" s="11">
        <f>IF(GetHumRatioFromEnthalpyAndTDryBulb(M$4*1000,$A49)*1000&lt;=$B49+$J$1,GetHumRatioFromEnthalpyAndTDryBulb(M$4*1000,$A49)*1000)</f>
        <v>3.2943852592887022</v>
      </c>
      <c r="N49" s="11">
        <f>IF(GetHumRatioFromEnthalpyAndTDryBulb(N$4*1000,$A49)*1000&lt;=$B49+$J$1,GetHumRatioFromEnthalpyAndTDryBulb(N$4*1000,$A49)*1000)</f>
        <v>11.165333196903569</v>
      </c>
      <c r="O49" s="11"/>
      <c r="P49" s="11"/>
      <c r="Q49" s="11"/>
      <c r="R49" s="13">
        <f t="shared" si="8"/>
        <v>9.9999999999999991E-5</v>
      </c>
      <c r="S49" s="13">
        <f t="shared" si="8"/>
        <v>2.9355372720584207</v>
      </c>
      <c r="T49" s="13">
        <f t="shared" si="8"/>
        <v>7.9569025805063154</v>
      </c>
      <c r="U49" s="13">
        <f t="shared" si="8"/>
        <v>14.06427066352008</v>
      </c>
      <c r="V49" s="13" t="e">
        <f t="shared" si="8"/>
        <v>#N/A</v>
      </c>
      <c r="W49" s="13" t="e">
        <f t="shared" si="8"/>
        <v>#N/A</v>
      </c>
      <c r="X49" s="13" t="e">
        <f t="shared" si="8"/>
        <v>#N/A</v>
      </c>
      <c r="Y49" s="11">
        <f>IF(GetHumRatioFromVapPres(Y$4*1000,$E$1)&lt;GetSatHumRatio($A49,$E$1)+$J$1/1000,GetHumRatioFromVapPres(Y$4*1000,$E$1)*1000)</f>
        <v>6.199302267630201</v>
      </c>
      <c r="Z49" s="11">
        <f>IF(GetHumRatioFromVapPres(Z$4*1000,$E$1)&lt;GetSatHumRatio($A49,$E$1)+$J$1/1000,GetHumRatioFromVapPres(Z$4*1000,$E$1)*1000)</f>
        <v>12.523433173923985</v>
      </c>
      <c r="AA49" s="11"/>
      <c r="AB49" s="11"/>
      <c r="AC49" s="11"/>
    </row>
    <row r="50" spans="1:29" x14ac:dyDescent="0.25">
      <c r="A50" s="2">
        <f t="shared" si="7"/>
        <v>22</v>
      </c>
      <c r="B50" s="10">
        <f>GetSatHumRatio(A50,$E$1)*1000</f>
        <v>16.668898521790673</v>
      </c>
      <c r="C50" s="11">
        <f>GetHumRatioFromRelHum(A50,$C$4,$E$1)*1000</f>
        <v>14.961908895343985</v>
      </c>
      <c r="D50" s="11">
        <f>GetHumRatioFromRelHum($A50,D$4,$E$1)*1000</f>
        <v>13.26402037316776</v>
      </c>
      <c r="E50" s="11">
        <f>GetHumRatioFromRelHum($A50,E$4,$E$1)*1000</f>
        <v>11.575160362663837</v>
      </c>
      <c r="F50" s="11">
        <f>GetHumRatioFromRelHum($A50,F$4,$E$1)*1000</f>
        <v>9.8952570412082821</v>
      </c>
      <c r="G50" s="11">
        <f>GetHumRatioFromRelHum($A50,G$4,$E$1)*1000</f>
        <v>8.2242393459696714</v>
      </c>
      <c r="H50" s="11">
        <f>GetHumRatioFromRelHum($A50,H$4,$E$1)*1000</f>
        <v>6.5620369638885467</v>
      </c>
      <c r="I50" s="11">
        <f>GetHumRatioFromRelHum($A50,I$4,$E$1)*1000</f>
        <v>4.9085803218150392</v>
      </c>
      <c r="J50" s="11">
        <f>GetHumRatioFromRelHum($A50,J$4,$E$1)*1000</f>
        <v>3.2638005768017497</v>
      </c>
      <c r="K50" s="11">
        <f>GetHumRatioFromRelHum($A50,K$4,$E$1)*1000</f>
        <v>1.6276296065490437</v>
      </c>
      <c r="L50" s="11">
        <f>IF(GetHumRatioFromEnthalpyAndTDryBulb(L$4*1000,$A50)*1000&lt;=$B50+$J$1,GetHumRatioFromEnthalpyAndTDryBulb(L$4*1000,$A50)*1000)</f>
        <v>-4.772770189463083</v>
      </c>
      <c r="M50" s="11">
        <f>IF(GetHumRatioFromEnthalpyAndTDryBulb(M$4*1000,$A50)*1000&lt;=$B50+$J$1,GetHumRatioFromEnthalpyAndTDryBulb(M$4*1000,$A50)*1000)</f>
        <v>3.095298042424623</v>
      </c>
      <c r="N50" s="11">
        <f>IF(GetHumRatioFromEnthalpyAndTDryBulb(N$4*1000,$A50)*1000&lt;=$B50+$J$1,GetHumRatioFromEnthalpyAndTDryBulb(N$4*1000,$A50)*1000)</f>
        <v>10.96336627431233</v>
      </c>
      <c r="O50" s="11"/>
      <c r="P50" s="11"/>
      <c r="Q50" s="11"/>
      <c r="R50" s="13">
        <f t="shared" si="8"/>
        <v>9.9999999999999991E-5</v>
      </c>
      <c r="S50" s="13">
        <f t="shared" si="8"/>
        <v>2.7332501070851745</v>
      </c>
      <c r="T50" s="13">
        <f t="shared" si="8"/>
        <v>7.751023937837366</v>
      </c>
      <c r="U50" s="13">
        <f t="shared" si="8"/>
        <v>13.854328522230896</v>
      </c>
      <c r="V50" s="13" t="e">
        <f t="shared" si="8"/>
        <v>#N/A</v>
      </c>
      <c r="W50" s="13" t="e">
        <f t="shared" si="8"/>
        <v>#N/A</v>
      </c>
      <c r="X50" s="13" t="e">
        <f t="shared" si="8"/>
        <v>#N/A</v>
      </c>
      <c r="Y50" s="11">
        <f>IF(GetHumRatioFromVapPres(Y$4*1000,$E$1)&lt;GetSatHumRatio($A50,$E$1)+$J$1/1000,GetHumRatioFromVapPres(Y$4*1000,$E$1)*1000)</f>
        <v>6.199302267630201</v>
      </c>
      <c r="Z50" s="11">
        <f>IF(GetHumRatioFromVapPres(Z$4*1000,$E$1)&lt;GetSatHumRatio($A50,$E$1)+$J$1/1000,GetHumRatioFromVapPres(Z$4*1000,$E$1)*1000)</f>
        <v>12.523433173923985</v>
      </c>
      <c r="AA50" s="11"/>
      <c r="AB50" s="11"/>
      <c r="AC50" s="11"/>
    </row>
    <row r="51" spans="1:29" x14ac:dyDescent="0.25">
      <c r="A51" s="2">
        <f t="shared" si="7"/>
        <v>22.5</v>
      </c>
      <c r="B51" s="10">
        <f>GetSatHumRatio(A51,$E$1)*1000</f>
        <v>17.198352144748153</v>
      </c>
      <c r="C51" s="11">
        <f>GetHumRatioFromRelHum(A51,$C$4,$E$1)*1000</f>
        <v>15.435832948459018</v>
      </c>
      <c r="D51" s="11">
        <f>GetHumRatioFromRelHum($A51,D$4,$E$1)*1000</f>
        <v>13.683007762027479</v>
      </c>
      <c r="E51" s="11">
        <f>GetHumRatioFromRelHum($A51,E$4,$E$1)*1000</f>
        <v>11.939796827936066</v>
      </c>
      <c r="F51" s="11">
        <f>GetHumRatioFromRelHum($A51,F$4,$E$1)*1000</f>
        <v>10.206121261214875</v>
      </c>
      <c r="G51" s="11">
        <f>GetHumRatioFromRelHum($A51,G$4,$E$1)*1000</f>
        <v>8.481903037542013</v>
      </c>
      <c r="H51" s="11">
        <f>GetHumRatioFromRelHum($A51,H$4,$E$1)*1000</f>
        <v>6.7670649815382777</v>
      </c>
      <c r="I51" s="11">
        <f>GetHumRatioFromRelHum($A51,I$4,$E$1)*1000</f>
        <v>5.0615307552523223</v>
      </c>
      <c r="J51" s="11">
        <f>GetHumRatioFromRelHum($A51,J$4,$E$1)*1000</f>
        <v>3.3652248468327737</v>
      </c>
      <c r="K51" s="11">
        <f>GetHumRatioFromRelHum($A51,K$4,$E$1)*1000</f>
        <v>1.6780725593836943</v>
      </c>
      <c r="L51" s="11">
        <f>IF(GetHumRatioFromEnthalpyAndTDryBulb(L$4*1000,$A51)*1000&lt;=$B51+$J$1,GetHumRatioFromEnthalpyAndTDryBulb(L$4*1000,$A51)*1000)</f>
        <v>-4.9688341821184894</v>
      </c>
      <c r="M51" s="11">
        <f>IF(GetHumRatioFromEnthalpyAndTDryBulb(M$4*1000,$A51)*1000&lt;=$B51+$J$1,GetHumRatioFromEnthalpyAndTDryBulb(M$4*1000,$A51)*1000)</f>
        <v>2.896356450439467</v>
      </c>
      <c r="N51" s="11">
        <f>IF(GetHumRatioFromEnthalpyAndTDryBulb(N$4*1000,$A51)*1000&lt;=$B51+$J$1,GetHumRatioFromEnthalpyAndTDryBulb(N$4*1000,$A51)*1000)</f>
        <v>10.761547082997424</v>
      </c>
      <c r="O51" s="11">
        <f>IF(GetHumRatioFromEnthalpyAndTDryBulb(O$4*1000,$A51)*1000&lt;=$B51+$J$1,GetHumRatioFromEnthalpyAndTDryBulb(O$4*1000,$A51)*1000)</f>
        <v>18.626737715555379</v>
      </c>
      <c r="P51" s="11"/>
      <c r="Q51" s="11"/>
      <c r="R51" s="13">
        <f t="shared" si="8"/>
        <v>9.9999999999999991E-5</v>
      </c>
      <c r="S51" s="13">
        <f t="shared" si="8"/>
        <v>2.5311133841876066</v>
      </c>
      <c r="T51" s="13">
        <f t="shared" si="8"/>
        <v>7.5452997004148088</v>
      </c>
      <c r="U51" s="13">
        <f t="shared" si="8"/>
        <v>13.64454517384115</v>
      </c>
      <c r="V51" s="13" t="e">
        <f t="shared" si="8"/>
        <v>#N/A</v>
      </c>
      <c r="W51" s="13" t="e">
        <f t="shared" si="8"/>
        <v>#N/A</v>
      </c>
      <c r="X51" s="13" t="e">
        <f t="shared" si="8"/>
        <v>#N/A</v>
      </c>
      <c r="Y51" s="11">
        <f>IF(GetHumRatioFromVapPres(Y$4*1000,$E$1)&lt;GetSatHumRatio($A51,$E$1)+$J$1/1000,GetHumRatioFromVapPres(Y$4*1000,$E$1)*1000)</f>
        <v>6.199302267630201</v>
      </c>
      <c r="Z51" s="11">
        <f>IF(GetHumRatioFromVapPres(Z$4*1000,$E$1)&lt;GetSatHumRatio($A51,$E$1)+$J$1/1000,GetHumRatioFromVapPres(Z$4*1000,$E$1)*1000)</f>
        <v>12.523433173923985</v>
      </c>
      <c r="AA51" s="11"/>
      <c r="AB51" s="11"/>
      <c r="AC51" s="11"/>
    </row>
    <row r="52" spans="1:29" x14ac:dyDescent="0.25">
      <c r="A52" s="2">
        <f t="shared" si="7"/>
        <v>23</v>
      </c>
      <c r="B52" s="10">
        <f>GetSatHumRatio(A52,$E$1)*1000</f>
        <v>17.742964430187961</v>
      </c>
      <c r="C52" s="11">
        <f>GetHumRatioFromRelHum(A52,$C$4,$E$1)*1000</f>
        <v>15.923241862034091</v>
      </c>
      <c r="D52" s="11">
        <f>GetHumRatioFromRelHum($A52,D$4,$E$1)*1000</f>
        <v>14.113843067989746</v>
      </c>
      <c r="E52" s="11">
        <f>GetHumRatioFromRelHum($A52,E$4,$E$1)*1000</f>
        <v>12.314680442252085</v>
      </c>
      <c r="F52" s="11">
        <f>GetHumRatioFromRelHum($A52,F$4,$E$1)*1000</f>
        <v>10.525667367433146</v>
      </c>
      <c r="G52" s="11">
        <f>GetHumRatioFromRelHum($A52,G$4,$E$1)*1000</f>
        <v>8.7467182006592843</v>
      </c>
      <c r="H52" s="11">
        <f>GetHumRatioFromRelHum($A52,H$4,$E$1)*1000</f>
        <v>6.9777482599045353</v>
      </c>
      <c r="I52" s="11">
        <f>GetHumRatioFromRelHum($A52,I$4,$E$1)*1000</f>
        <v>5.2186738105533355</v>
      </c>
      <c r="J52" s="11">
        <f>GetHumRatioFromRelHum($A52,J$4,$E$1)*1000</f>
        <v>3.469412052188118</v>
      </c>
      <c r="K52" s="11">
        <f>GetHumRatioFromRelHum($A52,K$4,$E$1)*1000</f>
        <v>1.7298811055973817</v>
      </c>
      <c r="L52" s="11">
        <f>IF(GetHumRatioFromEnthalpyAndTDryBulb(L$4*1000,$A52)*1000&lt;=$B52+$J$1,GetHumRatioFromEnthalpyAndTDryBulb(L$4*1000,$A52)*1000)</f>
        <v>-5.1647548137024426</v>
      </c>
      <c r="M52" s="11">
        <f>IF(GetHumRatioFromEnthalpyAndTDryBulb(M$4*1000,$A52)*1000&lt;=$B52+$J$1,GetHumRatioFromEnthalpyAndTDryBulb(M$4*1000,$A52)*1000)</f>
        <v>2.6975603236128904</v>
      </c>
      <c r="N52" s="11">
        <f>IF(GetHumRatioFromEnthalpyAndTDryBulb(N$4*1000,$A52)*1000&lt;=$B52+$J$1,GetHumRatioFromEnthalpyAndTDryBulb(N$4*1000,$A52)*1000)</f>
        <v>10.559875460928223</v>
      </c>
      <c r="O52" s="11">
        <f>IF(GetHumRatioFromEnthalpyAndTDryBulb(O$4*1000,$A52)*1000&lt;=$B52+$J$1,GetHumRatioFromEnthalpyAndTDryBulb(O$4*1000,$A52)*1000)</f>
        <v>18.422190598243557</v>
      </c>
      <c r="P52" s="11"/>
      <c r="Q52" s="11"/>
      <c r="R52" s="13">
        <f t="shared" si="8"/>
        <v>9.9999999999999991E-5</v>
      </c>
      <c r="S52" s="13">
        <f t="shared" si="8"/>
        <v>2.3291269356012028</v>
      </c>
      <c r="T52" s="13">
        <f t="shared" si="8"/>
        <v>7.3397296946020525</v>
      </c>
      <c r="U52" s="13">
        <f t="shared" si="8"/>
        <v>13.43492043826085</v>
      </c>
      <c r="V52" s="13" t="e">
        <f t="shared" si="8"/>
        <v>#N/A</v>
      </c>
      <c r="W52" s="13" t="e">
        <f t="shared" si="8"/>
        <v>#N/A</v>
      </c>
      <c r="X52" s="13" t="e">
        <f t="shared" si="8"/>
        <v>#N/A</v>
      </c>
      <c r="Y52" s="11">
        <f>IF(GetHumRatioFromVapPres(Y$4*1000,$E$1)&lt;GetSatHumRatio($A52,$E$1)+$J$1/1000,GetHumRatioFromVapPres(Y$4*1000,$E$1)*1000)</f>
        <v>6.199302267630201</v>
      </c>
      <c r="Z52" s="11">
        <f>IF(GetHumRatioFromVapPres(Z$4*1000,$E$1)&lt;GetSatHumRatio($A52,$E$1)+$J$1/1000,GetHumRatioFromVapPres(Z$4*1000,$E$1)*1000)</f>
        <v>12.523433173923985</v>
      </c>
      <c r="AA52" s="11">
        <f>IF(GetHumRatioFromVapPres(AA$4*1000,$E$1)&lt;GetSatHumRatio($A52,$E$1)+$J$1/1000,GetHumRatioFromVapPres(AA$4*1000,$E$1)*1000)</f>
        <v>18.976201372997711</v>
      </c>
      <c r="AB52" s="11"/>
      <c r="AC52" s="11"/>
    </row>
    <row r="53" spans="1:29" x14ac:dyDescent="0.25">
      <c r="A53" s="2">
        <f t="shared" si="7"/>
        <v>23.5</v>
      </c>
      <c r="B53" s="10">
        <f>GetSatHumRatio(A53,$E$1)*1000</f>
        <v>18.303133636416533</v>
      </c>
      <c r="C53" s="11">
        <f>GetHumRatioFromRelHum(A53,$C$4,$E$1)*1000</f>
        <v>16.424484882713443</v>
      </c>
      <c r="D53" s="11">
        <f>GetHumRatioFromRelHum($A53,D$4,$E$1)*1000</f>
        <v>14.556828728093832</v>
      </c>
      <c r="E53" s="11">
        <f>GetHumRatioFromRelHum($A53,E$4,$E$1)*1000</f>
        <v>12.700068971975057</v>
      </c>
      <c r="F53" s="11">
        <f>GetHumRatioFromRelHum($A53,F$4,$E$1)*1000</f>
        <v>10.854110533028589</v>
      </c>
      <c r="G53" s="11">
        <f>GetHumRatioFromRelHum($A53,G$4,$E$1)*1000</f>
        <v>9.0188594329496556</v>
      </c>
      <c r="H53" s="11">
        <f>GetHumRatioFromRelHum($A53,H$4,$E$1)*1000</f>
        <v>7.1942227805084906</v>
      </c>
      <c r="I53" s="11">
        <f>GetHumRatioFromRelHum($A53,I$4,$E$1)*1000</f>
        <v>5.3801087558774947</v>
      </c>
      <c r="J53" s="11">
        <f>GetHumRatioFromRelHum($A53,J$4,$E$1)*1000</f>
        <v>3.5764265952287912</v>
      </c>
      <c r="K53" s="11">
        <f>GetHumRatioFromRelHum($A53,K$4,$E$1)*1000</f>
        <v>1.7830865755967258</v>
      </c>
      <c r="L53" s="11">
        <f>IF(GetHumRatioFromEnthalpyAndTDryBulb(L$4*1000,$A53)*1000&lt;=$B53+$J$1,GetHumRatioFromEnthalpyAndTDryBulb(L$4*1000,$A53)*1000)</f>
        <v>-5.3605322413948944</v>
      </c>
      <c r="M53" s="11">
        <f>IF(GetHumRatioFromEnthalpyAndTDryBulb(M$4*1000,$A53)*1000&lt;=$B53+$J$1,GetHumRatioFromEnthalpyAndTDryBulb(M$4*1000,$A53)*1000)</f>
        <v>2.4989095024580399</v>
      </c>
      <c r="N53" s="11">
        <f>IF(GetHumRatioFromEnthalpyAndTDryBulb(N$4*1000,$A53)*1000&lt;=$B53+$J$1,GetHumRatioFromEnthalpyAndTDryBulb(N$4*1000,$A53)*1000)</f>
        <v>10.358351246310974</v>
      </c>
      <c r="O53" s="11">
        <f>IF(GetHumRatioFromEnthalpyAndTDryBulb(O$4*1000,$A53)*1000&lt;=$B53+$J$1,GetHumRatioFromEnthalpyAndTDryBulb(O$4*1000,$A53)*1000)</f>
        <v>18.217792990163908</v>
      </c>
      <c r="P53" s="11"/>
      <c r="Q53" s="11"/>
      <c r="R53" s="13">
        <f t="shared" si="8"/>
        <v>9.9999999999999991E-5</v>
      </c>
      <c r="S53" s="13">
        <f t="shared" si="8"/>
        <v>2.1272905938108004</v>
      </c>
      <c r="T53" s="13">
        <f t="shared" si="8"/>
        <v>7.1343137470227678</v>
      </c>
      <c r="U53" s="13">
        <f t="shared" si="8"/>
        <v>13.225454135672225</v>
      </c>
      <c r="V53" s="13" t="e">
        <f t="shared" si="8"/>
        <v>#N/A</v>
      </c>
      <c r="W53" s="13" t="e">
        <f t="shared" si="8"/>
        <v>#N/A</v>
      </c>
      <c r="X53" s="13" t="e">
        <f t="shared" si="8"/>
        <v>#N/A</v>
      </c>
      <c r="Y53" s="11">
        <f>IF(GetHumRatioFromVapPres(Y$4*1000,$E$1)&lt;GetSatHumRatio($A53,$E$1)+$J$1/1000,GetHumRatioFromVapPres(Y$4*1000,$E$1)*1000)</f>
        <v>6.199302267630201</v>
      </c>
      <c r="Z53" s="11">
        <f>IF(GetHumRatioFromVapPres(Z$4*1000,$E$1)&lt;GetSatHumRatio($A53,$E$1)+$J$1/1000,GetHumRatioFromVapPres(Z$4*1000,$E$1)*1000)</f>
        <v>12.523433173923985</v>
      </c>
      <c r="AA53" s="11">
        <f>IF(GetHumRatioFromVapPres(AA$4*1000,$E$1)&lt;GetSatHumRatio($A53,$E$1)+$J$1/1000,GetHumRatioFromVapPres(AA$4*1000,$E$1)*1000)</f>
        <v>18.976201372997711</v>
      </c>
      <c r="AB53" s="11"/>
      <c r="AC53" s="11"/>
    </row>
    <row r="54" spans="1:29" x14ac:dyDescent="0.25">
      <c r="A54" s="2">
        <f t="shared" si="7"/>
        <v>24</v>
      </c>
      <c r="B54" s="10">
        <f>GetSatHumRatio(A54,$E$1)*1000</f>
        <v>18.879268387412303</v>
      </c>
      <c r="C54" s="11">
        <f>GetHumRatioFromRelHum(A54,$C$4,$E$1)*1000</f>
        <v>16.939920072894679</v>
      </c>
      <c r="D54" s="11">
        <f>GetHumRatioFromRelHum($A54,D$4,$E$1)*1000</f>
        <v>15.012274573493821</v>
      </c>
      <c r="E54" s="11">
        <f>GetHumRatioFromRelHum($A54,E$4,$E$1)*1000</f>
        <v>13.096226278551775</v>
      </c>
      <c r="F54" s="11">
        <f>GetHumRatioFromRelHum($A54,F$4,$E$1)*1000</f>
        <v>11.191670844360489</v>
      </c>
      <c r="G54" s="11">
        <f>GetHumRatioFromRelHum($A54,G$4,$E$1)*1000</f>
        <v>9.298505175220015</v>
      </c>
      <c r="H54" s="11">
        <f>GetHumRatioFromRelHum($A54,H$4,$E$1)*1000</f>
        <v>7.4166274048355749</v>
      </c>
      <c r="I54" s="11">
        <f>GetHumRatioFromRelHum($A54,I$4,$E$1)*1000</f>
        <v>5.545936878046362</v>
      </c>
      <c r="J54" s="11">
        <f>GetHumRatioFromRelHum($A54,J$4,$E$1)*1000</f>
        <v>3.6863341328792485</v>
      </c>
      <c r="K54" s="11">
        <f>GetHumRatioFromRelHum($A54,K$4,$E$1)*1000</f>
        <v>1.8377208829206513</v>
      </c>
      <c r="L54" s="11">
        <f>IF(GetHumRatioFromEnthalpyAndTDryBulb(L$4*1000,$A54)*1000&lt;=$B54+$J$1,GetHumRatioFromEnthalpyAndTDryBulb(L$4*1000,$A54)*1000)</f>
        <v>-5.556166622146101</v>
      </c>
      <c r="M54" s="11">
        <f>IF(GetHumRatioFromEnthalpyAndTDryBulb(M$4*1000,$A54)*1000&lt;=$B54+$J$1,GetHumRatioFromEnthalpyAndTDryBulb(M$4*1000,$A54)*1000)</f>
        <v>2.3004038277211238</v>
      </c>
      <c r="N54" s="11">
        <f>IF(GetHumRatioFromEnthalpyAndTDryBulb(N$4*1000,$A54)*1000&lt;=$B54+$J$1,GetHumRatioFromEnthalpyAndTDryBulb(N$4*1000,$A54)*1000)</f>
        <v>10.156974277588349</v>
      </c>
      <c r="O54" s="11">
        <f>IF(GetHumRatioFromEnthalpyAndTDryBulb(O$4*1000,$A54)*1000&lt;=$B54+$J$1,GetHumRatioFromEnthalpyAndTDryBulb(O$4*1000,$A54)*1000)</f>
        <v>18.013544727455574</v>
      </c>
      <c r="P54" s="11"/>
      <c r="Q54" s="11"/>
      <c r="R54" s="13">
        <f t="shared" si="8"/>
        <v>9.9999999999999991E-5</v>
      </c>
      <c r="S54" s="13">
        <f t="shared" si="8"/>
        <v>1.9256041915501207</v>
      </c>
      <c r="T54" s="13">
        <f t="shared" si="8"/>
        <v>6.9290516845603847</v>
      </c>
      <c r="U54" s="13">
        <f t="shared" si="8"/>
        <v>13.016146086529208</v>
      </c>
      <c r="V54" s="13" t="e">
        <f t="shared" si="8"/>
        <v>#N/A</v>
      </c>
      <c r="W54" s="13" t="e">
        <f t="shared" si="8"/>
        <v>#N/A</v>
      </c>
      <c r="X54" s="13" t="e">
        <f t="shared" si="8"/>
        <v>#N/A</v>
      </c>
      <c r="Y54" s="11">
        <f>IF(GetHumRatioFromVapPres(Y$4*1000,$E$1)&lt;GetSatHumRatio($A54,$E$1)+$J$1/1000,GetHumRatioFromVapPres(Y$4*1000,$E$1)*1000)</f>
        <v>6.199302267630201</v>
      </c>
      <c r="Z54" s="11">
        <f>IF(GetHumRatioFromVapPres(Z$4*1000,$E$1)&lt;GetSatHumRatio($A54,$E$1)+$J$1/1000,GetHumRatioFromVapPres(Z$4*1000,$E$1)*1000)</f>
        <v>12.523433173923985</v>
      </c>
      <c r="AA54" s="11">
        <f>IF(GetHumRatioFromVapPres(AA$4*1000,$E$1)&lt;GetSatHumRatio($A54,$E$1)+$J$1/1000,GetHumRatioFromVapPres(AA$4*1000,$E$1)*1000)</f>
        <v>18.976201372997711</v>
      </c>
      <c r="AB54" s="11"/>
      <c r="AC54" s="11"/>
    </row>
    <row r="55" spans="1:29" x14ac:dyDescent="0.25">
      <c r="A55" s="2">
        <f t="shared" si="7"/>
        <v>24.5</v>
      </c>
      <c r="B55" s="10">
        <f>GetSatHumRatio(A55,$E$1)*1000</f>
        <v>19.47178798746981</v>
      </c>
      <c r="C55" s="11">
        <f>GetHumRatioFromRelHum(A55,$C$4,$E$1)*1000</f>
        <v>17.469914565792454</v>
      </c>
      <c r="D55" s="11">
        <f>GetHumRatioFromRelHum($A55,D$4,$E$1)*1000</f>
        <v>15.480498032411255</v>
      </c>
      <c r="E55" s="11">
        <f>GetHumRatioFromRelHum($A55,E$4,$E$1)*1000</f>
        <v>13.503422476324383</v>
      </c>
      <c r="F55" s="11">
        <f>GetHumRatioFromRelHum($A55,F$4,$E$1)*1000</f>
        <v>11.538573420148328</v>
      </c>
      <c r="G55" s="11">
        <f>GetHumRatioFromRelHum($A55,G$4,$E$1)*1000</f>
        <v>9.5858377980219736</v>
      </c>
      <c r="H55" s="11">
        <f>GetHumRatioFromRelHum($A55,H$4,$E$1)*1000</f>
        <v>7.6451039339181266</v>
      </c>
      <c r="I55" s="11">
        <f>GetHumRatioFromRelHum($A55,I$4,$E$1)*1000</f>
        <v>5.7162615203537142</v>
      </c>
      <c r="J55" s="11">
        <f>GetHumRatioFromRelHum($A55,J$4,$E$1)*1000</f>
        <v>3.7992015974901232</v>
      </c>
      <c r="K55" s="11">
        <f>GetHumRatioFromRelHum($A55,K$4,$E$1)*1000</f>
        <v>1.8938165326153671</v>
      </c>
      <c r="L55" s="11">
        <f>IF(GetHumRatioFromEnthalpyAndTDryBulb(L$4*1000,$A55)*1000&lt;=$B55+$J$1,GetHumRatioFromEnthalpyAndTDryBulb(L$4*1000,$A55)*1000)</f>
        <v>-5.7516581126770507</v>
      </c>
      <c r="M55" s="11">
        <f>IF(GetHumRatioFromEnthalpyAndTDryBulb(M$4*1000,$A55)*1000&lt;=$B55+$J$1,GetHumRatioFromEnthalpyAndTDryBulb(M$4*1000,$A55)*1000)</f>
        <v>2.1020431403809834</v>
      </c>
      <c r="N55" s="11">
        <f>IF(GetHumRatioFromEnthalpyAndTDryBulb(N$4*1000,$A55)*1000&lt;=$B55+$J$1,GetHumRatioFromEnthalpyAndTDryBulb(N$4*1000,$A55)*1000)</f>
        <v>9.9557443934390175</v>
      </c>
      <c r="O55" s="11">
        <f>IF(GetHumRatioFromEnthalpyAndTDryBulb(O$4*1000,$A55)*1000&lt;=$B55+$J$1,GetHumRatioFromEnthalpyAndTDryBulb(O$4*1000,$A55)*1000)</f>
        <v>17.809445646497053</v>
      </c>
      <c r="P55" s="11"/>
      <c r="Q55" s="11"/>
      <c r="R55" s="13">
        <f t="shared" si="8"/>
        <v>9.9999999999999991E-5</v>
      </c>
      <c r="S55" s="13">
        <f t="shared" si="8"/>
        <v>1.7240675618013106</v>
      </c>
      <c r="T55" s="13">
        <f t="shared" si="8"/>
        <v>6.7239433343576112</v>
      </c>
      <c r="U55" s="13">
        <f t="shared" si="8"/>
        <v>12.806996111556929</v>
      </c>
      <c r="V55" s="13" t="e">
        <f t="shared" si="8"/>
        <v>#N/A</v>
      </c>
      <c r="W55" s="13" t="e">
        <f t="shared" si="8"/>
        <v>#N/A</v>
      </c>
      <c r="X55" s="13" t="e">
        <f t="shared" si="8"/>
        <v>#N/A</v>
      </c>
      <c r="Y55" s="11">
        <f>IF(GetHumRatioFromVapPres(Y$4*1000,$E$1)&lt;GetSatHumRatio($A55,$E$1)+$J$1/1000,GetHumRatioFromVapPres(Y$4*1000,$E$1)*1000)</f>
        <v>6.199302267630201</v>
      </c>
      <c r="Z55" s="11">
        <f>IF(GetHumRatioFromVapPres(Z$4*1000,$E$1)&lt;GetSatHumRatio($A55,$E$1)+$J$1/1000,GetHumRatioFromVapPres(Z$4*1000,$E$1)*1000)</f>
        <v>12.523433173923985</v>
      </c>
      <c r="AA55" s="11">
        <f>IF(GetHumRatioFromVapPres(AA$4*1000,$E$1)&lt;GetSatHumRatio($A55,$E$1)+$J$1/1000,GetHumRatioFromVapPres(AA$4*1000,$E$1)*1000)</f>
        <v>18.976201372997711</v>
      </c>
      <c r="AB55" s="11"/>
      <c r="AC55" s="11"/>
    </row>
    <row r="56" spans="1:29" x14ac:dyDescent="0.25">
      <c r="A56" s="2">
        <f t="shared" si="7"/>
        <v>25</v>
      </c>
      <c r="B56" s="10">
        <f>GetSatHumRatio(A56,$E$1)*1000</f>
        <v>20.081122748349607</v>
      </c>
      <c r="C56" s="11">
        <f>GetHumRatioFromRelHum(A56,$C$4,$E$1)*1000</f>
        <v>18.014844830197688</v>
      </c>
      <c r="D56" s="11">
        <f>GetHumRatioFromRelHum($A56,D$4,$E$1)*1000</f>
        <v>15.961824340422888</v>
      </c>
      <c r="E56" s="11">
        <f>GetHumRatioFromRelHum($A56,E$4,$E$1)*1000</f>
        <v>13.921934095722953</v>
      </c>
      <c r="F56" s="11">
        <f>GetHumRatioFromRelHum($A56,F$4,$E$1)*1000</f>
        <v>11.895048534430515</v>
      </c>
      <c r="G56" s="11">
        <f>GetHumRatioFromRelHum($A56,G$4,$E$1)*1000</f>
        <v>9.8810436907496229</v>
      </c>
      <c r="H56" s="11">
        <f>GetHumRatioFromRelHum($A56,H$4,$E$1)*1000</f>
        <v>7.8797971694819315</v>
      </c>
      <c r="I56" s="11">
        <f>GetHumRatioFromRelHum($A56,I$4,$E$1)*1000</f>
        <v>5.8911881212316812</v>
      </c>
      <c r="J56" s="11">
        <f>GetHumRatioFromRelHum($A56,J$4,$E$1)*1000</f>
        <v>3.9150972180789103</v>
      </c>
      <c r="K56" s="11">
        <f>GetHumRatioFromRelHum($A56,K$4,$E$1)*1000</f>
        <v>1.9514066297106389</v>
      </c>
      <c r="L56" s="11">
        <f>IF(GetHumRatioFromEnthalpyAndTDryBulb(L$4*1000,$A56)*1000&lt;=$B56+$J$1,GetHumRatioFromEnthalpyAndTDryBulb(L$4*1000,$A56)*1000)</f>
        <v>-5.9470068694798819</v>
      </c>
      <c r="M56" s="11">
        <f>IF(GetHumRatioFromEnthalpyAndTDryBulb(M$4*1000,$A56)*1000&lt;=$B56+$J$1,GetHumRatioFromEnthalpyAndTDryBulb(M$4*1000,$A56)*1000)</f>
        <v>1.9038272816486759</v>
      </c>
      <c r="N56" s="11">
        <f>IF(GetHumRatioFromEnthalpyAndTDryBulb(N$4*1000,$A56)*1000&lt;=$B56+$J$1,GetHumRatioFromEnthalpyAndTDryBulb(N$4*1000,$A56)*1000)</f>
        <v>9.7546614327772332</v>
      </c>
      <c r="O56" s="11">
        <f>IF(GetHumRatioFromEnthalpyAndTDryBulb(O$4*1000,$A56)*1000&lt;=$B56+$J$1,GetHumRatioFromEnthalpyAndTDryBulb(O$4*1000,$A56)*1000)</f>
        <v>17.605495583905789</v>
      </c>
      <c r="P56" s="11"/>
      <c r="Q56" s="11"/>
      <c r="R56" s="13">
        <f t="shared" si="8"/>
        <v>9.9999999999999991E-5</v>
      </c>
      <c r="S56" s="13">
        <f t="shared" si="8"/>
        <v>1.5226805377944801</v>
      </c>
      <c r="T56" s="13">
        <f t="shared" si="8"/>
        <v>6.5189885238159571</v>
      </c>
      <c r="U56" s="13">
        <f t="shared" si="8"/>
        <v>12.598004031751206</v>
      </c>
      <c r="V56" s="13">
        <f t="shared" si="8"/>
        <v>20.081122748349607</v>
      </c>
      <c r="W56" s="13" t="e">
        <f t="shared" si="8"/>
        <v>#N/A</v>
      </c>
      <c r="X56" s="13" t="e">
        <f t="shared" si="8"/>
        <v>#N/A</v>
      </c>
      <c r="Y56" s="11">
        <f>IF(GetHumRatioFromVapPres(Y$4*1000,$E$1)&lt;GetSatHumRatio($A56,$E$1)+$J$1/1000,GetHumRatioFromVapPres(Y$4*1000,$E$1)*1000)</f>
        <v>6.199302267630201</v>
      </c>
      <c r="Z56" s="11">
        <f>IF(GetHumRatioFromVapPres(Z$4*1000,$E$1)&lt;GetSatHumRatio($A56,$E$1)+$J$1/1000,GetHumRatioFromVapPres(Z$4*1000,$E$1)*1000)</f>
        <v>12.523433173923985</v>
      </c>
      <c r="AA56" s="11">
        <f>IF(GetHumRatioFromVapPres(AA$4*1000,$E$1)&lt;GetSatHumRatio($A56,$E$1)+$J$1/1000,GetHumRatioFromVapPres(AA$4*1000,$E$1)*1000)</f>
        <v>18.976201372997711</v>
      </c>
      <c r="AB56" s="11"/>
      <c r="AC56" s="11"/>
    </row>
    <row r="57" spans="1:29" x14ac:dyDescent="0.25">
      <c r="A57" s="2">
        <f t="shared" si="7"/>
        <v>25.5</v>
      </c>
      <c r="B57" s="10">
        <f>GetSatHumRatio(A57,$E$1)*1000</f>
        <v>20.707714329536405</v>
      </c>
      <c r="C57" s="11">
        <f>GetHumRatioFromRelHum(A57,$C$4,$E$1)*1000</f>
        <v>18.575096945383148</v>
      </c>
      <c r="D57" s="11">
        <f>GetHumRatioFromRelHum($A57,D$4,$E$1)*1000</f>
        <v>16.45658675841165</v>
      </c>
      <c r="E57" s="11">
        <f>GetHumRatioFromRelHum($A57,E$4,$E$1)*1000</f>
        <v>14.352044252069627</v>
      </c>
      <c r="F57" s="11">
        <f>GetHumRatioFromRelHum($A57,F$4,$E$1)*1000</f>
        <v>12.261331743470445</v>
      </c>
      <c r="G57" s="11">
        <f>GetHumRatioFromRelHum($A57,G$4,$E$1)*1000</f>
        <v>10.184313353366869</v>
      </c>
      <c r="H57" s="11">
        <f>GetHumRatioFromRelHum($A57,H$4,$E$1)*1000</f>
        <v>8.1208549767130336</v>
      </c>
      <c r="I57" s="11">
        <f>GetHumRatioFromRelHum($A57,I$4,$E$1)*1000</f>
        <v>6.0708242538010309</v>
      </c>
      <c r="J57" s="11">
        <f>GetHumRatioFromRelHum($A57,J$4,$E$1)*1000</f>
        <v>4.0340905419591824</v>
      </c>
      <c r="K57" s="11">
        <f>GetHumRatioFromRelHum($A57,K$4,$E$1)*1000</f>
        <v>2.0105248877992099</v>
      </c>
      <c r="L57" s="11">
        <f>IF(GetHumRatioFromEnthalpyAndTDryBulb(L$4*1000,$A57)*1000&lt;=$B57+$J$1,GetHumRatioFromEnthalpyAndTDryBulb(L$4*1000,$A57)*1000)</f>
        <v>-6.1422130488182916</v>
      </c>
      <c r="M57" s="11">
        <f>IF(GetHumRatioFromEnthalpyAndTDryBulb(M$4*1000,$A57)*1000&lt;=$B57+$J$1,GetHumRatioFromEnthalpyAndTDryBulb(M$4*1000,$A57)*1000)</f>
        <v>1.705756092967043</v>
      </c>
      <c r="N57" s="11">
        <f>IF(GetHumRatioFromEnthalpyAndTDryBulb(N$4*1000,$A57)*1000&lt;=$B57+$J$1,GetHumRatioFromEnthalpyAndTDryBulb(N$4*1000,$A57)*1000)</f>
        <v>9.5537252347523776</v>
      </c>
      <c r="O57" s="11">
        <f>IF(GetHumRatioFromEnthalpyAndTDryBulb(O$4*1000,$A57)*1000&lt;=$B57+$J$1,GetHumRatioFromEnthalpyAndTDryBulb(O$4*1000,$A57)*1000)</f>
        <v>17.401694376537712</v>
      </c>
      <c r="P57" s="11"/>
      <c r="Q57" s="11"/>
      <c r="R57" s="13">
        <f t="shared" si="8"/>
        <v>9.9999999999999991E-5</v>
      </c>
      <c r="S57" s="13">
        <f t="shared" si="8"/>
        <v>1.3214429530072413</v>
      </c>
      <c r="T57" s="13">
        <f t="shared" si="8"/>
        <v>6.3141870805952376</v>
      </c>
      <c r="U57" s="13">
        <f t="shared" si="8"/>
        <v>12.38916966837802</v>
      </c>
      <c r="V57" s="13">
        <f t="shared" si="8"/>
        <v>19.867652041430016</v>
      </c>
      <c r="W57" s="13" t="e">
        <f t="shared" si="8"/>
        <v>#N/A</v>
      </c>
      <c r="X57" s="13" t="e">
        <f t="shared" si="8"/>
        <v>#N/A</v>
      </c>
      <c r="Y57" s="11">
        <f>IF(GetHumRatioFromVapPres(Y$4*1000,$E$1)&lt;GetSatHumRatio($A57,$E$1)+$J$1/1000,GetHumRatioFromVapPres(Y$4*1000,$E$1)*1000)</f>
        <v>6.199302267630201</v>
      </c>
      <c r="Z57" s="11">
        <f>IF(GetHumRatioFromVapPres(Z$4*1000,$E$1)&lt;GetSatHumRatio($A57,$E$1)+$J$1/1000,GetHumRatioFromVapPres(Z$4*1000,$E$1)*1000)</f>
        <v>12.523433173923985</v>
      </c>
      <c r="AA57" s="11">
        <f>IF(GetHumRatioFromVapPres(AA$4*1000,$E$1)&lt;GetSatHumRatio($A57,$E$1)+$J$1/1000,GetHumRatioFromVapPres(AA$4*1000,$E$1)*1000)</f>
        <v>18.976201372997711</v>
      </c>
      <c r="AB57" s="11"/>
      <c r="AC57" s="11"/>
    </row>
    <row r="58" spans="1:29" x14ac:dyDescent="0.25">
      <c r="A58" s="2">
        <f t="shared" si="7"/>
        <v>26</v>
      </c>
      <c r="B58" s="10">
        <f>GetSatHumRatio(A58,$E$1)*1000</f>
        <v>21.352016092248125</v>
      </c>
      <c r="C58" s="11">
        <f>GetHumRatioFromRelHum(A58,$C$4,$E$1)*1000</f>
        <v>19.151066886636627</v>
      </c>
      <c r="D58" s="11">
        <f>GetHumRatioFromRelHum($A58,D$4,$E$1)*1000</f>
        <v>16.965126798531628</v>
      </c>
      <c r="E58" s="11">
        <f>GetHumRatioFromRelHum($A58,E$4,$E$1)*1000</f>
        <v>14.794042820241533</v>
      </c>
      <c r="F58" s="11">
        <f>GetHumRatioFromRelHum($A58,F$4,$E$1)*1000</f>
        <v>12.637664016776565</v>
      </c>
      <c r="G58" s="11">
        <f>GetHumRatioFromRelHum($A58,G$4,$E$1)*1000</f>
        <v>10.495841490870184</v>
      </c>
      <c r="H58" s="11">
        <f>GetHumRatioFromRelHum($A58,H$4,$E$1)*1000</f>
        <v>8.3684283487064928</v>
      </c>
      <c r="I58" s="11">
        <f>GetHumRatioFromRelHum($A58,I$4,$E$1)*1000</f>
        <v>6.2552796663370227</v>
      </c>
      <c r="J58" s="11">
        <f>GetHumRatioFromRelHum($A58,J$4,$E$1)*1000</f>
        <v>4.1562524567708072</v>
      </c>
      <c r="K58" s="11">
        <f>GetHumRatioFromRelHum($A58,K$4,$E$1)*1000</f>
        <v>2.0712056377220329</v>
      </c>
      <c r="L58" s="11">
        <f>IF(GetHumRatioFromEnthalpyAndTDryBulb(L$4*1000,$A58)*1000&lt;=$B58+$J$1,GetHumRatioFromEnthalpyAndTDryBulb(L$4*1000,$A58)*1000)</f>
        <v>-6.3372768067279628</v>
      </c>
      <c r="M58" s="11">
        <f>IF(GetHumRatioFromEnthalpyAndTDryBulb(M$4*1000,$A58)*1000&lt;=$B58+$J$1,GetHumRatioFromEnthalpyAndTDryBulb(M$4*1000,$A58)*1000)</f>
        <v>1.5078294160102932</v>
      </c>
      <c r="N58" s="11">
        <f>IF(GetHumRatioFromEnthalpyAndTDryBulb(N$4*1000,$A58)*1000&lt;=$B58+$J$1,GetHumRatioFromEnthalpyAndTDryBulb(N$4*1000,$A58)*1000)</f>
        <v>9.3529356387485478</v>
      </c>
      <c r="O58" s="11">
        <f>IF(GetHumRatioFromEnthalpyAndTDryBulb(O$4*1000,$A58)*1000&lt;=$B58+$J$1,GetHumRatioFromEnthalpyAndTDryBulb(O$4*1000,$A58)*1000)</f>
        <v>17.198041861486804</v>
      </c>
      <c r="P58" s="11"/>
      <c r="Q58" s="11"/>
      <c r="R58" s="13">
        <f t="shared" si="8"/>
        <v>9.9999999999999991E-5</v>
      </c>
      <c r="S58" s="13">
        <f t="shared" si="8"/>
        <v>1.1203546411642515</v>
      </c>
      <c r="T58" s="13">
        <f t="shared" si="8"/>
        <v>6.1095388326130964</v>
      </c>
      <c r="U58" s="13">
        <f t="shared" si="8"/>
        <v>12.180492842973015</v>
      </c>
      <c r="V58" s="13">
        <f t="shared" si="8"/>
        <v>19.654343748667873</v>
      </c>
      <c r="W58" s="13" t="e">
        <f t="shared" si="8"/>
        <v>#N/A</v>
      </c>
      <c r="X58" s="13" t="e">
        <f t="shared" si="8"/>
        <v>#N/A</v>
      </c>
      <c r="Y58" s="11">
        <f>IF(GetHumRatioFromVapPres(Y$4*1000,$E$1)&lt;GetSatHumRatio($A58,$E$1)+$J$1/1000,GetHumRatioFromVapPres(Y$4*1000,$E$1)*1000)</f>
        <v>6.199302267630201</v>
      </c>
      <c r="Z58" s="11">
        <f>IF(GetHumRatioFromVapPres(Z$4*1000,$E$1)&lt;GetSatHumRatio($A58,$E$1)+$J$1/1000,GetHumRatioFromVapPres(Z$4*1000,$E$1)*1000)</f>
        <v>12.523433173923985</v>
      </c>
      <c r="AA58" s="11">
        <f>IF(GetHumRatioFromVapPres(AA$4*1000,$E$1)&lt;GetSatHumRatio($A58,$E$1)+$J$1/1000,GetHumRatioFromVapPres(AA$4*1000,$E$1)*1000)</f>
        <v>18.976201372997711</v>
      </c>
      <c r="AB58" s="11"/>
      <c r="AC58" s="11"/>
    </row>
    <row r="59" spans="1:29" x14ac:dyDescent="0.25">
      <c r="A59" s="2">
        <f t="shared" si="7"/>
        <v>26.5</v>
      </c>
      <c r="B59" s="10">
        <f>GetSatHumRatio(A59,$E$1)*1000</f>
        <v>22.014493467862351</v>
      </c>
      <c r="C59" s="11">
        <f>GetHumRatioFromRelHum(A59,$C$4,$E$1)*1000</f>
        <v>19.743160821917986</v>
      </c>
      <c r="D59" s="11">
        <f>GetHumRatioFromRelHum($A59,D$4,$E$1)*1000</f>
        <v>17.487794458546535</v>
      </c>
      <c r="E59" s="11">
        <f>GetHumRatioFromRelHum($A59,E$4,$E$1)*1000</f>
        <v>15.248226615443658</v>
      </c>
      <c r="F59" s="11">
        <f>GetHumRatioFromRelHum($A59,F$4,$E$1)*1000</f>
        <v>13.024291872404092</v>
      </c>
      <c r="G59" s="11">
        <f>GetHumRatioFromRelHum($A59,G$4,$E$1)*1000</f>
        <v>10.815827110591773</v>
      </c>
      <c r="H59" s="11">
        <f>GetHumRatioFromRelHum($A59,H$4,$E$1)*1000</f>
        <v>8.6226714726570073</v>
      </c>
      <c r="I59" s="11">
        <f>GetHumRatioFromRelHum($A59,I$4,$E$1)*1000</f>
        <v>6.4446663236801465</v>
      </c>
      <c r="J59" s="11">
        <f>GetHumRatioFromRelHum($A59,J$4,$E$1)*1000</f>
        <v>4.2816552129219199</v>
      </c>
      <c r="K59" s="11">
        <f>GetHumRatioFromRelHum($A59,K$4,$E$1)*1000</f>
        <v>2.133483836361</v>
      </c>
      <c r="L59" s="11">
        <f>IF(GetHumRatioFromEnthalpyAndTDryBulb(L$4*1000,$A59)*1000&lt;=$B59+$J$1,GetHumRatioFromEnthalpyAndTDryBulb(L$4*1000,$A59)*1000)</f>
        <v>-6.532198299016974</v>
      </c>
      <c r="M59" s="11">
        <f>IF(GetHumRatioFromEnthalpyAndTDryBulb(M$4*1000,$A59)*1000&lt;=$B59+$J$1,GetHumRatioFromEnthalpyAndTDryBulb(M$4*1000,$A59)*1000)</f>
        <v>1.3100470926835777</v>
      </c>
      <c r="N59" s="11">
        <f>IF(GetHumRatioFromEnthalpyAndTDryBulb(N$4*1000,$A59)*1000&lt;=$B59+$J$1,GetHumRatioFromEnthalpyAndTDryBulb(N$4*1000,$A59)*1000)</f>
        <v>9.1522924843841302</v>
      </c>
      <c r="O59" s="11">
        <f>IF(GetHumRatioFromEnthalpyAndTDryBulb(O$4*1000,$A59)*1000&lt;=$B59+$J$1,GetHumRatioFromEnthalpyAndTDryBulb(O$4*1000,$A59)*1000)</f>
        <v>16.994537876084681</v>
      </c>
      <c r="P59" s="11"/>
      <c r="Q59" s="11"/>
      <c r="R59" s="13">
        <f t="shared" si="8"/>
        <v>9.9999999999999991E-5</v>
      </c>
      <c r="S59" s="13">
        <f t="shared" si="8"/>
        <v>0.91941543623675392</v>
      </c>
      <c r="T59" s="13">
        <f t="shared" si="8"/>
        <v>5.9050436080445214</v>
      </c>
      <c r="U59" s="13">
        <f t="shared" si="8"/>
        <v>11.971973377341</v>
      </c>
      <c r="V59" s="13">
        <f t="shared" si="8"/>
        <v>19.441197684780196</v>
      </c>
      <c r="W59" s="13" t="e">
        <f t="shared" si="8"/>
        <v>#N/A</v>
      </c>
      <c r="X59" s="13" t="e">
        <f t="shared" si="8"/>
        <v>#N/A</v>
      </c>
      <c r="Y59" s="11">
        <f>IF(GetHumRatioFromVapPres(Y$4*1000,$E$1)&lt;GetSatHumRatio($A59,$E$1)+$J$1/1000,GetHumRatioFromVapPres(Y$4*1000,$E$1)*1000)</f>
        <v>6.199302267630201</v>
      </c>
      <c r="Z59" s="11">
        <f>IF(GetHumRatioFromVapPres(Z$4*1000,$E$1)&lt;GetSatHumRatio($A59,$E$1)+$J$1/1000,GetHumRatioFromVapPres(Z$4*1000,$E$1)*1000)</f>
        <v>12.523433173923985</v>
      </c>
      <c r="AA59" s="11">
        <f>IF(GetHumRatioFromVapPres(AA$4*1000,$E$1)&lt;GetSatHumRatio($A59,$E$1)+$J$1/1000,GetHumRatioFromVapPres(AA$4*1000,$E$1)*1000)</f>
        <v>18.976201372997711</v>
      </c>
      <c r="AB59" s="11"/>
      <c r="AC59" s="11"/>
    </row>
    <row r="60" spans="1:29" x14ac:dyDescent="0.25">
      <c r="A60" s="2">
        <f t="shared" si="7"/>
        <v>27</v>
      </c>
      <c r="B60" s="10">
        <f>GetSatHumRatio(A60,$E$1)*1000</f>
        <v>22.695624341477814</v>
      </c>
      <c r="C60" s="11">
        <f>GetHumRatioFromRelHum(A60,$C$4,$E$1)*1000</f>
        <v>20.351795420175876</v>
      </c>
      <c r="D60" s="11">
        <f>GetHumRatioFromRelHum($A60,D$4,$E$1)*1000</f>
        <v>18.024948464930858</v>
      </c>
      <c r="E60" s="11">
        <f>GetHumRatioFromRelHum($A60,E$4,$E$1)*1000</f>
        <v>15.714899580365284</v>
      </c>
      <c r="F60" s="11">
        <f>GetHumRatioFromRelHum($A60,F$4,$E$1)*1000</f>
        <v>13.421467516722378</v>
      </c>
      <c r="G60" s="11">
        <f>GetHumRatioFromRelHum($A60,G$4,$E$1)*1000</f>
        <v>11.144473622459833</v>
      </c>
      <c r="H60" s="11">
        <f>GetHumRatioFromRelHum($A60,H$4,$E$1)*1000</f>
        <v>8.8837417978593418</v>
      </c>
      <c r="I60" s="11">
        <f>GetHumRatioFromRelHum($A60,I$4,$E$1)*1000</f>
        <v>6.6390984496265064</v>
      </c>
      <c r="J60" s="11">
        <f>GetHumRatioFromRelHum($A60,J$4,$E$1)*1000</f>
        <v>4.410372446456611</v>
      </c>
      <c r="K60" s="11">
        <f>GetHumRatioFromRelHum($A60,K$4,$E$1)*1000</f>
        <v>2.1973950755422953</v>
      </c>
      <c r="L60" s="11">
        <f>IF(GetHumRatioFromEnthalpyAndTDryBulb(L$4*1000,$A60)*1000&lt;=$B60+$J$1,GetHumRatioFromEnthalpyAndTDryBulb(L$4*1000,$A60)*1000)</f>
        <v>-6.7269776812662183</v>
      </c>
      <c r="M60" s="11">
        <f>IF(GetHumRatioFromEnthalpyAndTDryBulb(M$4*1000,$A60)*1000&lt;=$B60+$J$1,GetHumRatioFromEnthalpyAndTDryBulb(M$4*1000,$A60)*1000)</f>
        <v>1.1124089651225695</v>
      </c>
      <c r="N60" s="11">
        <f>IF(GetHumRatioFromEnthalpyAndTDryBulb(N$4*1000,$A60)*1000&lt;=$B60+$J$1,GetHumRatioFromEnthalpyAndTDryBulb(N$4*1000,$A60)*1000)</f>
        <v>8.9517956115113559</v>
      </c>
      <c r="O60" s="11">
        <f>IF(GetHumRatioFromEnthalpyAndTDryBulb(O$4*1000,$A60)*1000&lt;=$B60+$J$1,GetHumRatioFromEnthalpyAndTDryBulb(O$4*1000,$A60)*1000)</f>
        <v>16.791182257900143</v>
      </c>
      <c r="P60" s="11"/>
      <c r="Q60" s="11"/>
      <c r="R60" s="13">
        <f t="shared" si="8"/>
        <v>9.9999999999999991E-5</v>
      </c>
      <c r="S60" s="13">
        <f t="shared" si="8"/>
        <v>0.71862517244212099</v>
      </c>
      <c r="T60" s="13">
        <f t="shared" si="8"/>
        <v>5.7007012353213673</v>
      </c>
      <c r="U60" s="13">
        <f t="shared" si="8"/>
        <v>11.763611093555415</v>
      </c>
      <c r="V60" s="13">
        <f t="shared" si="8"/>
        <v>19.228213664765708</v>
      </c>
      <c r="W60" s="13" t="e">
        <f t="shared" si="8"/>
        <v>#N/A</v>
      </c>
      <c r="X60" s="13" t="e">
        <f t="shared" si="8"/>
        <v>#N/A</v>
      </c>
      <c r="Y60" s="11">
        <f>IF(GetHumRatioFromVapPres(Y$4*1000,$E$1)&lt;GetSatHumRatio($A60,$E$1)+$J$1/1000,GetHumRatioFromVapPres(Y$4*1000,$E$1)*1000)</f>
        <v>6.199302267630201</v>
      </c>
      <c r="Z60" s="11">
        <f>IF(GetHumRatioFromVapPres(Z$4*1000,$E$1)&lt;GetSatHumRatio($A60,$E$1)+$J$1/1000,GetHumRatioFromVapPres(Z$4*1000,$E$1)*1000)</f>
        <v>12.523433173923985</v>
      </c>
      <c r="AA60" s="11">
        <f>IF(GetHumRatioFromVapPres(AA$4*1000,$E$1)&lt;GetSatHumRatio($A60,$E$1)+$J$1/1000,GetHumRatioFromVapPres(AA$4*1000,$E$1)*1000)</f>
        <v>18.976201372997711</v>
      </c>
      <c r="AB60" s="11"/>
      <c r="AC60" s="11"/>
    </row>
    <row r="61" spans="1:29" x14ac:dyDescent="0.25">
      <c r="A61" s="2">
        <f t="shared" si="7"/>
        <v>27.5</v>
      </c>
      <c r="B61" s="10">
        <f>GetSatHumRatio(A61,$E$1)*1000</f>
        <v>23.395899451354062</v>
      </c>
      <c r="C61" s="11">
        <f>GetHumRatioFromRelHum(A61,$C$4,$E$1)*1000</f>
        <v>20.977398171875556</v>
      </c>
      <c r="D61" s="11">
        <f>GetHumRatioFromRelHum($A61,D$4,$E$1)*1000</f>
        <v>18.576956525131795</v>
      </c>
      <c r="E61" s="11">
        <f>GetHumRatioFromRelHum($A61,E$4,$E$1)*1000</f>
        <v>16.194372978997144</v>
      </c>
      <c r="F61" s="11">
        <f>GetHumRatioFromRelHum($A61,F$4,$E$1)*1000</f>
        <v>13.829448988832294</v>
      </c>
      <c r="G61" s="11">
        <f>GetHumRatioFromRelHum($A61,G$4,$E$1)*1000</f>
        <v>11.48198894233097</v>
      </c>
      <c r="H61" s="11">
        <f>GetHumRatioFromRelHum($A61,H$4,$E$1)*1000</f>
        <v>9.1518001055840639</v>
      </c>
      <c r="I61" s="11">
        <f>GetHumRatioFromRelHum($A61,I$4,$E$1)*1000</f>
        <v>6.838692570329866</v>
      </c>
      <c r="J61" s="11">
        <f>GetHumRatioFromRelHum($A61,J$4,$E$1)*1000</f>
        <v>4.5424792023601022</v>
      </c>
      <c r="K61" s="11">
        <f>GetHumRatioFromRelHum($A61,K$4,$E$1)*1000</f>
        <v>2.2629755910523039</v>
      </c>
      <c r="L61" s="11">
        <f>IF(GetHumRatioFromEnthalpyAndTDryBulb(L$4*1000,$A61)*1000&lt;=$B61+$J$1,GetHumRatioFromEnthalpyAndTDryBulb(L$4*1000,$A61)*1000)</f>
        <v>-6.9216151088298092</v>
      </c>
      <c r="M61" s="11">
        <f>IF(GetHumRatioFromEnthalpyAndTDryBulb(M$4*1000,$A61)*1000&lt;=$B61+$J$1,GetHumRatioFromEnthalpyAndTDryBulb(M$4*1000,$A61)*1000)</f>
        <v>0.91491487569304342</v>
      </c>
      <c r="N61" s="11">
        <f>IF(GetHumRatioFromEnthalpyAndTDryBulb(N$4*1000,$A61)*1000&lt;=$B61+$J$1,GetHumRatioFromEnthalpyAndTDryBulb(N$4*1000,$A61)*1000)</f>
        <v>8.7514448602158961</v>
      </c>
      <c r="O61" s="11">
        <f>IF(GetHumRatioFromEnthalpyAndTDryBulb(O$4*1000,$A61)*1000&lt;=$B61+$J$1,GetHumRatioFromEnthalpyAndTDryBulb(O$4*1000,$A61)*1000)</f>
        <v>16.587974844738749</v>
      </c>
      <c r="P61" s="11">
        <f>IF(GetHumRatioFromEnthalpyAndTDryBulb(P$4*1000,$A61)*1000&lt;=$B61+$J$1,GetHumRatioFromEnthalpyAndTDryBulb(P$4*1000,$A61)*1000)</f>
        <v>24.424504829261604</v>
      </c>
      <c r="Q61" s="11"/>
      <c r="R61" s="13">
        <f t="shared" si="8"/>
        <v>9.9999999999999991E-5</v>
      </c>
      <c r="S61" s="13">
        <f t="shared" si="8"/>
        <v>0.51798368424339836</v>
      </c>
      <c r="T61" s="13">
        <f t="shared" si="8"/>
        <v>5.4965115431318683</v>
      </c>
      <c r="U61" s="13">
        <f t="shared" si="8"/>
        <v>11.555405813957854</v>
      </c>
      <c r="V61" s="13">
        <f t="shared" si="8"/>
        <v>19.015391503904326</v>
      </c>
      <c r="W61" s="13" t="e">
        <f t="shared" si="8"/>
        <v>#N/A</v>
      </c>
      <c r="X61" s="13" t="e">
        <f t="shared" si="8"/>
        <v>#N/A</v>
      </c>
      <c r="Y61" s="11">
        <f>IF(GetHumRatioFromVapPres(Y$4*1000,$E$1)&lt;GetSatHumRatio($A61,$E$1)+$J$1/1000,GetHumRatioFromVapPres(Y$4*1000,$E$1)*1000)</f>
        <v>6.199302267630201</v>
      </c>
      <c r="Z61" s="11">
        <f>IF(GetHumRatioFromVapPres(Z$4*1000,$E$1)&lt;GetSatHumRatio($A61,$E$1)+$J$1/1000,GetHumRatioFromVapPres(Z$4*1000,$E$1)*1000)</f>
        <v>12.523433173923985</v>
      </c>
      <c r="AA61" s="11">
        <f>IF(GetHumRatioFromVapPres(AA$4*1000,$E$1)&lt;GetSatHumRatio($A61,$E$1)+$J$1/1000,GetHumRatioFromVapPres(AA$4*1000,$E$1)*1000)</f>
        <v>18.976201372997711</v>
      </c>
      <c r="AB61" s="11"/>
      <c r="AC61" s="11"/>
    </row>
    <row r="62" spans="1:29" x14ac:dyDescent="0.25">
      <c r="A62" s="2">
        <f t="shared" si="7"/>
        <v>28</v>
      </c>
      <c r="B62" s="10">
        <f>GetSatHumRatio(A62,$E$1)*1000</f>
        <v>24.115822805024301</v>
      </c>
      <c r="C62" s="11">
        <f>GetHumRatioFromRelHum(A62,$C$4,$E$1)*1000</f>
        <v>21.620407722328103</v>
      </c>
      <c r="D62" s="11">
        <f>GetHumRatioFromRelHum($A62,D$4,$E$1)*1000</f>
        <v>19.14419558941843</v>
      </c>
      <c r="E62" s="11">
        <f>GetHumRatioFromRelHum($A62,E$4,$E$1)*1000</f>
        <v>16.686965597407177</v>
      </c>
      <c r="F62" s="11">
        <f>GetHumRatioFromRelHum($A62,F$4,$E$1)*1000</f>
        <v>14.248500309832545</v>
      </c>
      <c r="G62" s="11">
        <f>GetHumRatioFromRelHum($A62,G$4,$E$1)*1000</f>
        <v>11.828585598519863</v>
      </c>
      <c r="H62" s="11">
        <f>GetHumRatioFromRelHum($A62,H$4,$E$1)*1000</f>
        <v>9.4270105809006957</v>
      </c>
      <c r="I62" s="11">
        <f>GetHumRatioFromRelHum($A62,I$4,$E$1)*1000</f>
        <v>7.0435675587516613</v>
      </c>
      <c r="J62" s="11">
        <f>GetHumRatioFromRelHum($A62,J$4,$E$1)*1000</f>
        <v>4.6780519583156366</v>
      </c>
      <c r="K62" s="11">
        <f>GetHumRatioFromRelHum($A62,K$4,$E$1)*1000</f>
        <v>2.330262271769032</v>
      </c>
      <c r="L62" s="11">
        <f>IF(GetHumRatioFromEnthalpyAndTDryBulb(L$4*1000,$A62)*1000&lt;=$B62+$J$1,GetHumRatioFromEnthalpyAndTDryBulb(L$4*1000,$A62)*1000)</f>
        <v>-7.116110736835509</v>
      </c>
      <c r="M62" s="11">
        <f>IF(GetHumRatioFromEnthalpyAndTDryBulb(M$4*1000,$A62)*1000&lt;=$B62+$J$1,GetHumRatioFromEnthalpyAndTDryBulb(M$4*1000,$A62)*1000)</f>
        <v>0.71756466699045895</v>
      </c>
      <c r="N62" s="11">
        <f>IF(GetHumRatioFromEnthalpyAndTDryBulb(N$4*1000,$A62)*1000&lt;=$B62+$J$1,GetHumRatioFromEnthalpyAndTDryBulb(N$4*1000,$A62)*1000)</f>
        <v>8.5512400708164247</v>
      </c>
      <c r="O62" s="11">
        <f>IF(GetHumRatioFromEnthalpyAndTDryBulb(O$4*1000,$A62)*1000&lt;=$B62+$J$1,GetHumRatioFromEnthalpyAndTDryBulb(O$4*1000,$A62)*1000)</f>
        <v>16.384915474642394</v>
      </c>
      <c r="P62" s="11">
        <f>IF(GetHumRatioFromEnthalpyAndTDryBulb(P$4*1000,$A62)*1000&lt;=$B62+$J$1,GetHumRatioFromEnthalpyAndTDryBulb(P$4*1000,$A62)*1000)</f>
        <v>24.218590878468362</v>
      </c>
      <c r="Q62" s="11"/>
      <c r="R62" s="13">
        <f t="shared" si="8"/>
        <v>9.9999999999999991E-5</v>
      </c>
      <c r="S62" s="13">
        <f t="shared" si="8"/>
        <v>0.31749080634885046</v>
      </c>
      <c r="T62" s="13">
        <f t="shared" si="8"/>
        <v>5.2924743604201714</v>
      </c>
      <c r="U62" s="13">
        <f t="shared" si="8"/>
        <v>11.347357361157542</v>
      </c>
      <c r="V62" s="13">
        <f t="shared" si="8"/>
        <v>18.802731017756617</v>
      </c>
      <c r="W62" s="13" t="e">
        <f t="shared" si="8"/>
        <v>#N/A</v>
      </c>
      <c r="X62" s="13" t="e">
        <f t="shared" si="8"/>
        <v>#N/A</v>
      </c>
      <c r="Y62" s="11">
        <f>IF(GetHumRatioFromVapPres(Y$4*1000,$E$1)&lt;GetSatHumRatio($A62,$E$1)+$J$1/1000,GetHumRatioFromVapPres(Y$4*1000,$E$1)*1000)</f>
        <v>6.199302267630201</v>
      </c>
      <c r="Z62" s="11">
        <f>IF(GetHumRatioFromVapPres(Z$4*1000,$E$1)&lt;GetSatHumRatio($A62,$E$1)+$J$1/1000,GetHumRatioFromVapPres(Z$4*1000,$E$1)*1000)</f>
        <v>12.523433173923985</v>
      </c>
      <c r="AA62" s="11">
        <f>IF(GetHumRatioFromVapPres(AA$4*1000,$E$1)&lt;GetSatHumRatio($A62,$E$1)+$J$1/1000,GetHumRatioFromVapPres(AA$4*1000,$E$1)*1000)</f>
        <v>18.976201372997711</v>
      </c>
      <c r="AB62" s="11">
        <f>IF(GetHumRatioFromVapPres(AB$4*1000,$E$1)&lt;GetSatHumRatio($A62,$E$1)+$J$1/1000,GetHumRatioFromVapPres(AB$4*1000,$E$1)*1000)</f>
        <v>25.561572052401743</v>
      </c>
      <c r="AC62" s="11"/>
    </row>
    <row r="63" spans="1:29" x14ac:dyDescent="0.25">
      <c r="A63" s="2">
        <f t="shared" si="7"/>
        <v>28.5</v>
      </c>
      <c r="B63" s="10">
        <f>GetSatHumRatio(A63,$E$1)*1000</f>
        <v>24.855912112913323</v>
      </c>
      <c r="C63" s="11">
        <f>GetHumRatioFromRelHum(A63,$C$4,$E$1)*1000</f>
        <v>22.281274218436632</v>
      </c>
      <c r="D63" s="11">
        <f>GetHumRatioFromRelHum($A63,D$4,$E$1)*1000</f>
        <v>19.727052122761112</v>
      </c>
      <c r="E63" s="11">
        <f>GetHumRatioFromRelHum($A63,E$4,$E$1)*1000</f>
        <v>17.193003951782504</v>
      </c>
      <c r="F63" s="11">
        <f>GetHumRatioFromRelHum($A63,F$4,$E$1)*1000</f>
        <v>14.678891637139044</v>
      </c>
      <c r="G63" s="11">
        <f>GetHumRatioFromRelHum($A63,G$4,$E$1)*1000</f>
        <v>12.184480841653412</v>
      </c>
      <c r="H63" s="11">
        <f>GetHumRatioFromRelHum($A63,H$4,$E$1)*1000</f>
        <v>9.7095408865206636</v>
      </c>
      <c r="I63" s="11">
        <f>GetHumRatioFromRelHum($A63,I$4,$E$1)*1000</f>
        <v>7.2538446801945744</v>
      </c>
      <c r="J63" s="11">
        <f>GetHumRatioFromRelHum($A63,J$4,$E$1)*1000</f>
        <v>4.8171686489264136</v>
      </c>
      <c r="K63" s="11">
        <f>GetHumRatioFromRelHum($A63,K$4,$E$1)*1000</f>
        <v>2.3992926689114467</v>
      </c>
      <c r="L63" s="11">
        <f>IF(GetHumRatioFromEnthalpyAndTDryBulb(L$4*1000,$A63)*1000&lt;=$B63+$J$1,GetHumRatioFromEnthalpyAndTDryBulb(L$4*1000,$A63)*1000)</f>
        <v>-7.3104647201851201</v>
      </c>
      <c r="M63" s="11">
        <f>IF(GetHumRatioFromEnthalpyAndTDryBulb(M$4*1000,$A63)*1000&lt;=$B63+$J$1,GetHumRatioFromEnthalpyAndTDryBulb(M$4*1000,$A63)*1000)</f>
        <v>0.52035818183953886</v>
      </c>
      <c r="N63" s="11">
        <f>IF(GetHumRatioFromEnthalpyAndTDryBulb(N$4*1000,$A63)*1000&lt;=$B63+$J$1,GetHumRatioFromEnthalpyAndTDryBulb(N$4*1000,$A63)*1000)</f>
        <v>8.3511810838641978</v>
      </c>
      <c r="O63" s="11">
        <f>IF(GetHumRatioFromEnthalpyAndTDryBulb(O$4*1000,$A63)*1000&lt;=$B63+$J$1,GetHumRatioFromEnthalpyAndTDryBulb(O$4*1000,$A63)*1000)</f>
        <v>16.182003985888858</v>
      </c>
      <c r="P63" s="11">
        <f>IF(GetHumRatioFromEnthalpyAndTDryBulb(P$4*1000,$A63)*1000&lt;=$B63+$J$1,GetHumRatioFromEnthalpyAndTDryBulb(P$4*1000,$A63)*1000)</f>
        <v>24.012826887913516</v>
      </c>
      <c r="Q63" s="11"/>
      <c r="R63" s="13">
        <f t="shared" si="8"/>
        <v>9.9999999999999991E-5</v>
      </c>
      <c r="S63" s="13">
        <f t="shared" si="8"/>
        <v>0.1171463737115061</v>
      </c>
      <c r="T63" s="13">
        <f t="shared" si="8"/>
        <v>5.0885895163858459</v>
      </c>
      <c r="U63" s="13">
        <f t="shared" si="8"/>
        <v>11.139465558030832</v>
      </c>
      <c r="V63" s="13">
        <f t="shared" si="8"/>
        <v>18.590232022163274</v>
      </c>
      <c r="W63" s="13" t="e">
        <f t="shared" si="8"/>
        <v>#N/A</v>
      </c>
      <c r="X63" s="13" t="e">
        <f t="shared" si="8"/>
        <v>#N/A</v>
      </c>
      <c r="Y63" s="11">
        <f>IF(GetHumRatioFromVapPres(Y$4*1000,$E$1)&lt;GetSatHumRatio($A63,$E$1)+$J$1/1000,GetHumRatioFromVapPres(Y$4*1000,$E$1)*1000)</f>
        <v>6.199302267630201</v>
      </c>
      <c r="Z63" s="11">
        <f>IF(GetHumRatioFromVapPres(Z$4*1000,$E$1)&lt;GetSatHumRatio($A63,$E$1)+$J$1/1000,GetHumRatioFromVapPres(Z$4*1000,$E$1)*1000)</f>
        <v>12.523433173923985</v>
      </c>
      <c r="AA63" s="11">
        <f>IF(GetHumRatioFromVapPres(AA$4*1000,$E$1)&lt;GetSatHumRatio($A63,$E$1)+$J$1/1000,GetHumRatioFromVapPres(AA$4*1000,$E$1)*1000)</f>
        <v>18.976201372997711</v>
      </c>
      <c r="AB63" s="11">
        <f>IF(GetHumRatioFromVapPres(AB$4*1000,$E$1)&lt;GetSatHumRatio($A63,$E$1)+$J$1/1000,GetHumRatioFromVapPres(AB$4*1000,$E$1)*1000)</f>
        <v>25.561572052401743</v>
      </c>
      <c r="AC63" s="11"/>
    </row>
    <row r="64" spans="1:29" x14ac:dyDescent="0.25">
      <c r="A64" s="2">
        <f t="shared" si="7"/>
        <v>29</v>
      </c>
      <c r="B64" s="10">
        <f>GetSatHumRatio(A64,$E$1)*1000</f>
        <v>25.616699240346719</v>
      </c>
      <c r="C64" s="11">
        <f>GetHumRatioFromRelHum(A64,$C$4,$E$1)*1000</f>
        <v>22.960459669514652</v>
      </c>
      <c r="D64" s="11">
        <f>GetHumRatioFromRelHum($A64,D$4,$E$1)*1000</f>
        <v>20.325922387212344</v>
      </c>
      <c r="E64" s="11">
        <f>GetHumRatioFromRelHum($A64,E$4,$E$1)*1000</f>
        <v>17.71282250406534</v>
      </c>
      <c r="F64" s="11">
        <f>GetHumRatioFromRelHum($A64,F$4,$E$1)*1000</f>
        <v>15.120899424075176</v>
      </c>
      <c r="G64" s="11">
        <f>GetHumRatioFromRelHum($A64,G$4,$E$1)*1000</f>
        <v>12.549896757985609</v>
      </c>
      <c r="H64" s="11">
        <f>GetHumRatioFromRelHum($A64,H$4,$E$1)*1000</f>
        <v>9.9995622387382248</v>
      </c>
      <c r="I64" s="11">
        <f>GetHumRatioFromRelHum($A64,I$4,$E$1)*1000</f>
        <v>7.4696476389587989</v>
      </c>
      <c r="J64" s="11">
        <f>GetHumRatioFromRelHum($A64,J$4,$E$1)*1000</f>
        <v>4.9599086904177643</v>
      </c>
      <c r="K64" s="11">
        <f>GetHumRatioFromRelHum($A64,K$4,$E$1)*1000</f>
        <v>2.4701050054098834</v>
      </c>
      <c r="L64" s="11">
        <f>IF(GetHumRatioFromEnthalpyAndTDryBulb(L$4*1000,$A64)*1000&lt;=$B64+$J$1,GetHumRatioFromEnthalpyAndTDryBulb(L$4*1000,$A64)*1000)</f>
        <v>-7.5046772135549169</v>
      </c>
      <c r="M64" s="11">
        <f>IF(GetHumRatioFromEnthalpyAndTDryBulb(M$4*1000,$A64)*1000&lt;=$B64+$J$1,GetHumRatioFromEnthalpyAndTDryBulb(M$4*1000,$A64)*1000)</f>
        <v>0.32329526329385444</v>
      </c>
      <c r="N64" s="11">
        <f>IF(GetHumRatioFromEnthalpyAndTDryBulb(N$4*1000,$A64)*1000&lt;=$B64+$J$1,GetHumRatioFromEnthalpyAndTDryBulb(N$4*1000,$A64)*1000)</f>
        <v>8.151267740142627</v>
      </c>
      <c r="O64" s="11">
        <f>IF(GetHumRatioFromEnthalpyAndTDryBulb(O$4*1000,$A64)*1000&lt;=$B64+$J$1,GetHumRatioFromEnthalpyAndTDryBulb(O$4*1000,$A64)*1000)</f>
        <v>15.979240216991396</v>
      </c>
      <c r="P64" s="11">
        <f>IF(GetHumRatioFromEnthalpyAndTDryBulb(P$4*1000,$A64)*1000&lt;=$B64+$J$1,GetHumRatioFromEnthalpyAndTDryBulb(P$4*1000,$A64)*1000)</f>
        <v>23.807212693840167</v>
      </c>
      <c r="Q64" s="11"/>
      <c r="R64" s="13">
        <f t="shared" si="8"/>
        <v>9.9999999999999991E-5</v>
      </c>
      <c r="S64" s="13">
        <f t="shared" si="8"/>
        <v>9.9999999999999991E-5</v>
      </c>
      <c r="T64" s="13">
        <f t="shared" si="8"/>
        <v>4.8848568404834172</v>
      </c>
      <c r="U64" s="13">
        <f t="shared" si="8"/>
        <v>10.931730227720715</v>
      </c>
      <c r="V64" s="13">
        <f t="shared" si="8"/>
        <v>18.377894333244569</v>
      </c>
      <c r="W64" s="13" t="e">
        <f t="shared" si="8"/>
        <v>#N/A</v>
      </c>
      <c r="X64" s="13" t="e">
        <f t="shared" si="8"/>
        <v>#N/A</v>
      </c>
      <c r="Y64" s="11">
        <f>IF(GetHumRatioFromVapPres(Y$4*1000,$E$1)&lt;GetSatHumRatio($A64,$E$1)+$J$1/1000,GetHumRatioFromVapPres(Y$4*1000,$E$1)*1000)</f>
        <v>6.199302267630201</v>
      </c>
      <c r="Z64" s="11">
        <f>IF(GetHumRatioFromVapPres(Z$4*1000,$E$1)&lt;GetSatHumRatio($A64,$E$1)+$J$1/1000,GetHumRatioFromVapPres(Z$4*1000,$E$1)*1000)</f>
        <v>12.523433173923985</v>
      </c>
      <c r="AA64" s="11">
        <f>IF(GetHumRatioFromVapPres(AA$4*1000,$E$1)&lt;GetSatHumRatio($A64,$E$1)+$J$1/1000,GetHumRatioFromVapPres(AA$4*1000,$E$1)*1000)</f>
        <v>18.976201372997711</v>
      </c>
      <c r="AB64" s="11">
        <f>IF(GetHumRatioFromVapPres(AB$4*1000,$E$1)&lt;GetSatHumRatio($A64,$E$1)+$J$1/1000,GetHumRatioFromVapPres(AB$4*1000,$E$1)*1000)</f>
        <v>25.561572052401743</v>
      </c>
      <c r="AC64" s="11"/>
    </row>
    <row r="65" spans="1:29" x14ac:dyDescent="0.25">
      <c r="A65" s="2">
        <f t="shared" si="7"/>
        <v>29.5</v>
      </c>
      <c r="B65" s="10">
        <f>GetSatHumRatio(A65,$E$1)*1000</f>
        <v>26.398730678879389</v>
      </c>
      <c r="C65" s="11">
        <f>GetHumRatioFromRelHum(A65,$C$4,$E$1)*1000</f>
        <v>23.658438322860174</v>
      </c>
      <c r="D65" s="11">
        <f>GetHumRatioFromRelHum($A65,D$4,$E$1)*1000</f>
        <v>20.941212735278786</v>
      </c>
      <c r="E65" s="11">
        <f>GetHumRatioFromRelHum($A65,E$4,$E$1)*1000</f>
        <v>18.246763885521155</v>
      </c>
      <c r="F65" s="11">
        <f>GetHumRatioFromRelHum($A65,F$4,$E$1)*1000</f>
        <v>15.574806584956267</v>
      </c>
      <c r="G65" s="11">
        <f>GetHumRatioFromRelHum($A65,G$4,$E$1)*1000</f>
        <v>12.92506038631161</v>
      </c>
      <c r="H65" s="11">
        <f>GetHumRatioFromRelHum($A65,H$4,$E$1)*1000</f>
        <v>10.297249485547654</v>
      </c>
      <c r="I65" s="11">
        <f>GetHumRatioFromRelHum($A65,I$4,$E$1)*1000</f>
        <v>7.6911026261591848</v>
      </c>
      <c r="J65" s="11">
        <f>GetHumRatioFromRelHum($A65,J$4,$E$1)*1000</f>
        <v>5.1063530058337872</v>
      </c>
      <c r="K65" s="11">
        <f>GetHumRatioFromRelHum($A65,K$4,$E$1)*1000</f>
        <v>2.5427381854000184</v>
      </c>
      <c r="L65" s="11">
        <f>IF(GetHumRatioFromEnthalpyAndTDryBulb(L$4*1000,$A65)*1000&lt;=$B65+$J$1,GetHumRatioFromEnthalpyAndTDryBulb(L$4*1000,$A65)*1000)</f>
        <v>-7.6987483713960412</v>
      </c>
      <c r="M65" s="11">
        <f>IF(GetHumRatioFromEnthalpyAndTDryBulb(M$4*1000,$A65)*1000&lt;=$B65+$J$1,GetHumRatioFromEnthalpyAndTDryBulb(M$4*1000,$A65)*1000)</f>
        <v>0.12637575463540807</v>
      </c>
      <c r="N65" s="11">
        <f>IF(GetHumRatioFromEnthalpyAndTDryBulb(N$4*1000,$A65)*1000&lt;=$B65+$J$1,GetHumRatioFromEnthalpyAndTDryBulb(N$4*1000,$A65)*1000)</f>
        <v>7.9514998806668578</v>
      </c>
      <c r="O65" s="11">
        <f>IF(GetHumRatioFromEnthalpyAndTDryBulb(O$4*1000,$A65)*1000&lt;=$B65+$J$1,GetHumRatioFromEnthalpyAndTDryBulb(O$4*1000,$A65)*1000)</f>
        <v>15.776624006698308</v>
      </c>
      <c r="P65" s="11">
        <f>IF(GetHumRatioFromEnthalpyAndTDryBulb(P$4*1000,$A65)*1000&lt;=$B65+$J$1,GetHumRatioFromEnthalpyAndTDryBulb(P$4*1000,$A65)*1000)</f>
        <v>23.601748132729757</v>
      </c>
      <c r="Q65" s="11"/>
      <c r="R65" s="13">
        <f t="shared" si="8"/>
        <v>9.9999999999999991E-5</v>
      </c>
      <c r="S65" s="13">
        <f t="shared" si="8"/>
        <v>9.9999999999999991E-5</v>
      </c>
      <c r="T65" s="13">
        <f t="shared" si="8"/>
        <v>4.6812761624218835</v>
      </c>
      <c r="U65" s="13">
        <f t="shared" si="8"/>
        <v>10.724151193636303</v>
      </c>
      <c r="V65" s="13">
        <f t="shared" si="8"/>
        <v>18.16571776739984</v>
      </c>
      <c r="W65" s="13" t="e">
        <f t="shared" si="8"/>
        <v>#N/A</v>
      </c>
      <c r="X65" s="13" t="e">
        <f t="shared" si="8"/>
        <v>#N/A</v>
      </c>
      <c r="Y65" s="11">
        <f>IF(GetHumRatioFromVapPres(Y$4*1000,$E$1)&lt;GetSatHumRatio($A65,$E$1)+$J$1/1000,GetHumRatioFromVapPres(Y$4*1000,$E$1)*1000)</f>
        <v>6.199302267630201</v>
      </c>
      <c r="Z65" s="11">
        <f>IF(GetHumRatioFromVapPres(Z$4*1000,$E$1)&lt;GetSatHumRatio($A65,$E$1)+$J$1/1000,GetHumRatioFromVapPres(Z$4*1000,$E$1)*1000)</f>
        <v>12.523433173923985</v>
      </c>
      <c r="AA65" s="11">
        <f>IF(GetHumRatioFromVapPres(AA$4*1000,$E$1)&lt;GetSatHumRatio($A65,$E$1)+$J$1/1000,GetHumRatioFromVapPres(AA$4*1000,$E$1)*1000)</f>
        <v>18.976201372997711</v>
      </c>
      <c r="AB65" s="11">
        <f>IF(GetHumRatioFromVapPres(AB$4*1000,$E$1)&lt;GetSatHumRatio($A65,$E$1)+$J$1/1000,GetHumRatioFromVapPres(AB$4*1000,$E$1)*1000)</f>
        <v>25.561572052401743</v>
      </c>
      <c r="AC65" s="11"/>
    </row>
    <row r="66" spans="1:29" x14ac:dyDescent="0.25">
      <c r="A66" s="2">
        <f t="shared" si="7"/>
        <v>30</v>
      </c>
      <c r="B66" s="10">
        <f>GetSatHumRatio(A66,$E$1)*1000</f>
        <v>27.202568037933922</v>
      </c>
      <c r="C66" s="11">
        <f>GetHumRatioFromRelHum(A66,$C$4,$E$1)*1000</f>
        <v>24.375697054815085</v>
      </c>
      <c r="D66" s="11">
        <f>GetHumRatioFromRelHum($A66,D$4,$E$1)*1000</f>
        <v>21.573339914807018</v>
      </c>
      <c r="E66" s="11">
        <f>GetHumRatioFromRelHum($A66,E$4,$E$1)*1000</f>
        <v>18.795179128600914</v>
      </c>
      <c r="F66" s="11">
        <f>GetHumRatioFromRelHum($A66,F$4,$E$1)*1000</f>
        <v>16.040902665907755</v>
      </c>
      <c r="G66" s="11">
        <f>GetHumRatioFromRelHum($A66,G$4,$E$1)*1000</f>
        <v>13.310203838630189</v>
      </c>
      <c r="H66" s="11">
        <f>GetHumRatioFromRelHum($A66,H$4,$E$1)*1000</f>
        <v>10.602781187021927</v>
      </c>
      <c r="I66" s="11">
        <f>GetHumRatioFromRelHum($A66,I$4,$E$1)*1000</f>
        <v>7.9183383687458067</v>
      </c>
      <c r="J66" s="11">
        <f>GetHumRatioFromRelHum($A66,J$4,$E$1)*1000</f>
        <v>5.2565840507449328</v>
      </c>
      <c r="K66" s="11">
        <f>GetHumRatioFromRelHum($A66,K$4,$E$1)*1000</f>
        <v>2.6172318038438842</v>
      </c>
      <c r="L66" s="11">
        <f>IF(GetHumRatioFromEnthalpyAndTDryBulb(L$4*1000,$A66)*1000&lt;=$B66+$J$1,GetHumRatioFromEnthalpyAndTDryBulb(L$4*1000,$A66)*1000)</f>
        <v>-7.8926783479349174</v>
      </c>
      <c r="M66" s="11">
        <f>IF(GetHumRatioFromEnthalpyAndTDryBulb(M$4*1000,$A66)*1000&lt;=$B66+$J$1,GetHumRatioFromEnthalpyAndTDryBulb(M$4*1000,$A66)*1000)</f>
        <v>-7.0400500625782111E-2</v>
      </c>
      <c r="N66" s="11">
        <f>IF(GetHumRatioFromEnthalpyAndTDryBulb(N$4*1000,$A66)*1000&lt;=$B66+$J$1,GetHumRatioFromEnthalpyAndTDryBulb(N$4*1000,$A66)*1000)</f>
        <v>7.7518773466833535</v>
      </c>
      <c r="O66" s="11">
        <f>IF(GetHumRatioFromEnthalpyAndTDryBulb(O$4*1000,$A66)*1000&lt;=$B66+$J$1,GetHumRatioFromEnthalpyAndTDryBulb(O$4*1000,$A66)*1000)</f>
        <v>15.574155193992489</v>
      </c>
      <c r="P66" s="11">
        <f>IF(GetHumRatioFromEnthalpyAndTDryBulb(P$4*1000,$A66)*1000&lt;=$B66+$J$1,GetHumRatioFromEnthalpyAndTDryBulb(P$4*1000,$A66)*1000)</f>
        <v>23.396433041301627</v>
      </c>
      <c r="Q66" s="11"/>
      <c r="R66" s="13">
        <f t="shared" si="8"/>
        <v>9.9999999999999991E-5</v>
      </c>
      <c r="S66" s="13">
        <f t="shared" si="8"/>
        <v>9.9999999999999991E-5</v>
      </c>
      <c r="T66" s="13">
        <f t="shared" si="8"/>
        <v>4.4778473121642444</v>
      </c>
      <c r="U66" s="13">
        <f t="shared" si="8"/>
        <v>10.516728279452336</v>
      </c>
      <c r="V66" s="13">
        <f t="shared" si="8"/>
        <v>17.953702141306948</v>
      </c>
      <c r="W66" s="13">
        <f t="shared" si="8"/>
        <v>27.202568037933919</v>
      </c>
      <c r="X66" s="13" t="e">
        <f t="shared" si="8"/>
        <v>#N/A</v>
      </c>
      <c r="Y66" s="11">
        <f>IF(GetHumRatioFromVapPres(Y$4*1000,$E$1)&lt;GetSatHumRatio($A66,$E$1)+$J$1/1000,GetHumRatioFromVapPres(Y$4*1000,$E$1)*1000)</f>
        <v>6.199302267630201</v>
      </c>
      <c r="Z66" s="11">
        <f>IF(GetHumRatioFromVapPres(Z$4*1000,$E$1)&lt;GetSatHumRatio($A66,$E$1)+$J$1/1000,GetHumRatioFromVapPres(Z$4*1000,$E$1)*1000)</f>
        <v>12.523433173923985</v>
      </c>
      <c r="AA66" s="11">
        <f>IF(GetHumRatioFromVapPres(AA$4*1000,$E$1)&lt;GetSatHumRatio($A66,$E$1)+$J$1/1000,GetHumRatioFromVapPres(AA$4*1000,$E$1)*1000)</f>
        <v>18.976201372997711</v>
      </c>
      <c r="AB66" s="11">
        <f>IF(GetHumRatioFromVapPres(AB$4*1000,$E$1)&lt;GetSatHumRatio($A66,$E$1)+$J$1/1000,GetHumRatioFromVapPres(AB$4*1000,$E$1)*1000)</f>
        <v>25.561572052401743</v>
      </c>
      <c r="AC66" s="11"/>
    </row>
    <row r="67" spans="1:29" x14ac:dyDescent="0.25">
      <c r="A67" s="2">
        <f t="shared" ref="A67:A80" si="9">A66+0.5</f>
        <v>30.5</v>
      </c>
      <c r="B67" s="10">
        <f>GetSatHumRatio(A67,$E$1)*1000</f>
        <v>28.028788557785514</v>
      </c>
      <c r="C67" s="11">
        <f>GetHumRatioFromRelHum(A67,$C$4,$E$1)*1000</f>
        <v>25.112735778069791</v>
      </c>
      <c r="D67" s="11">
        <f>GetHumRatioFromRelHum($A67,D$4,$E$1)*1000</f>
        <v>22.222731385924831</v>
      </c>
      <c r="E67" s="11">
        <f>GetHumRatioFromRelHum($A67,E$4,$E$1)*1000</f>
        <v>19.358427907470041</v>
      </c>
      <c r="F67" s="11">
        <f>GetHumRatioFromRelHum($A67,F$4,$E$1)*1000</f>
        <v>16.519484021661718</v>
      </c>
      <c r="G67" s="11">
        <f>GetHumRatioFromRelHum($A67,G$4,$E$1)*1000</f>
        <v>13.705564424705349</v>
      </c>
      <c r="H67" s="11">
        <f>GetHumRatioFromRelHum($A67,H$4,$E$1)*1000</f>
        <v>10.916339698037625</v>
      </c>
      <c r="I67" s="11">
        <f>GetHumRatioFromRelHum($A67,I$4,$E$1)*1000</f>
        <v>8.1514861797690354</v>
      </c>
      <c r="J67" s="11">
        <f>GetHumRatioFromRelHum($A67,J$4,$E$1)*1000</f>
        <v>5.4106858394816806</v>
      </c>
      <c r="K67" s="11">
        <f>GetHumRatioFromRelHum($A67,K$4,$E$1)*1000</f>
        <v>2.6936261562805304</v>
      </c>
      <c r="L67" s="11">
        <f>IF(GetHumRatioFromEnthalpyAndTDryBulb(L$4*1000,$A67)*1000&lt;=$B67+$J$1,GetHumRatioFromEnthalpyAndTDryBulb(L$4*1000,$A67)*1000)</f>
        <v>-8.086467297173666</v>
      </c>
      <c r="M67" s="11">
        <f>IF(GetHumRatioFromEnthalpyAndTDryBulb(M$4*1000,$A67)*1000&lt;=$B67+$J$1,GetHumRatioFromEnthalpyAndTDryBulb(M$4*1000,$A67)*1000)</f>
        <v>-0.2670336587520965</v>
      </c>
      <c r="N67" s="11">
        <f>IF(GetHumRatioFromEnthalpyAndTDryBulb(N$4*1000,$A67)*1000&lt;=$B67+$J$1,GetHumRatioFromEnthalpyAndTDryBulb(N$4*1000,$A67)*1000)</f>
        <v>7.552399979669473</v>
      </c>
      <c r="O67" s="11">
        <f>IF(GetHumRatioFromEnthalpyAndTDryBulb(O$4*1000,$A67)*1000&lt;=$B67+$J$1,GetHumRatioFromEnthalpyAndTDryBulb(O$4*1000,$A67)*1000)</f>
        <v>15.371833618091042</v>
      </c>
      <c r="P67" s="11">
        <f>IF(GetHumRatioFromEnthalpyAndTDryBulb(P$4*1000,$A67)*1000&lt;=$B67+$J$1,GetHumRatioFromEnthalpyAndTDryBulb(P$4*1000,$A67)*1000)</f>
        <v>23.19126725651261</v>
      </c>
      <c r="Q67" s="11"/>
      <c r="R67" s="13">
        <f t="shared" si="8"/>
        <v>9.9999999999999991E-5</v>
      </c>
      <c r="S67" s="13">
        <f t="shared" si="8"/>
        <v>9.9999999999999991E-5</v>
      </c>
      <c r="T67" s="13">
        <f t="shared" si="8"/>
        <v>4.2745701199270307</v>
      </c>
      <c r="U67" s="13">
        <f t="shared" si="8"/>
        <v>10.30946130910869</v>
      </c>
      <c r="V67" s="13">
        <f t="shared" si="8"/>
        <v>17.74184727192176</v>
      </c>
      <c r="W67" s="13">
        <f t="shared" si="8"/>
        <v>26.985353479508134</v>
      </c>
      <c r="X67" s="13" t="e">
        <f t="shared" si="8"/>
        <v>#N/A</v>
      </c>
      <c r="Y67" s="11">
        <f>IF(GetHumRatioFromVapPres(Y$4*1000,$E$1)&lt;GetSatHumRatio($A67,$E$1)+$J$1/1000,GetHumRatioFromVapPres(Y$4*1000,$E$1)*1000)</f>
        <v>6.199302267630201</v>
      </c>
      <c r="Z67" s="11">
        <f>IF(GetHumRatioFromVapPres(Z$4*1000,$E$1)&lt;GetSatHumRatio($A67,$E$1)+$J$1/1000,GetHumRatioFromVapPres(Z$4*1000,$E$1)*1000)</f>
        <v>12.523433173923985</v>
      </c>
      <c r="AA67" s="11">
        <f>IF(GetHumRatioFromVapPres(AA$4*1000,$E$1)&lt;GetSatHumRatio($A67,$E$1)+$J$1/1000,GetHumRatioFromVapPres(AA$4*1000,$E$1)*1000)</f>
        <v>18.976201372997711</v>
      </c>
      <c r="AB67" s="11">
        <f>IF(GetHumRatioFromVapPres(AB$4*1000,$E$1)&lt;GetSatHumRatio($A67,$E$1)+$J$1/1000,GetHumRatioFromVapPres(AB$4*1000,$E$1)*1000)</f>
        <v>25.561572052401743</v>
      </c>
      <c r="AC67" s="11"/>
    </row>
    <row r="68" spans="1:29" x14ac:dyDescent="0.25">
      <c r="A68" s="2">
        <f t="shared" si="9"/>
        <v>31</v>
      </c>
      <c r="B68" s="10">
        <f>GetSatHumRatio(A68,$E$1)*1000</f>
        <v>28.877985645001328</v>
      </c>
      <c r="C68" s="11">
        <f>GetHumRatioFromRelHum(A68,$C$4,$E$1)*1000</f>
        <v>25.870067866025593</v>
      </c>
      <c r="D68" s="11">
        <f>GetHumRatioFromRelHum($A68,D$4,$E$1)*1000</f>
        <v>22.889825650617432</v>
      </c>
      <c r="E68" s="11">
        <f>GetHumRatioFromRelHum($A68,E$4,$E$1)*1000</f>
        <v>19.93687878760322</v>
      </c>
      <c r="F68" s="11">
        <f>GetHumRatioFromRelHum($A68,F$4,$E$1)*1000</f>
        <v>17.010853998594662</v>
      </c>
      <c r="G68" s="11">
        <f>GetHumRatioFromRelHum($A68,G$4,$E$1)*1000</f>
        <v>14.111384780690008</v>
      </c>
      <c r="H68" s="11">
        <f>GetHumRatioFromRelHum($A68,H$4,$E$1)*1000</f>
        <v>11.238111253438651</v>
      </c>
      <c r="I68" s="11">
        <f>GetHumRatioFromRelHum($A68,I$4,$E$1)*1000</f>
        <v>8.3906800099349823</v>
      </c>
      <c r="J68" s="11">
        <f>GetHumRatioFromRelHum($A68,J$4,$E$1)*1000</f>
        <v>5.5687439719120171</v>
      </c>
      <c r="K68" s="11">
        <f>GetHumRatioFromRelHum($A68,K$4,$E$1)*1000</f>
        <v>2.7719622487100528</v>
      </c>
      <c r="L68" s="11">
        <f>IF(GetHumRatioFromEnthalpyAndTDryBulb(L$4*1000,$A68)*1000&lt;=$B68+$J$1,GetHumRatioFromEnthalpyAndTDryBulb(L$4*1000,$A68)*1000)</f>
        <v>-8.2801153728904975</v>
      </c>
      <c r="M68" s="11">
        <f>IF(GetHumRatioFromEnthalpyAndTDryBulb(M$4*1000,$A68)*1000&lt;=$B68+$J$1,GetHumRatioFromEnthalpyAndTDryBulb(M$4*1000,$A68)*1000)</f>
        <v>-0.46352387577872795</v>
      </c>
      <c r="N68" s="11">
        <f>IF(GetHumRatioFromEnthalpyAndTDryBulb(N$4*1000,$A68)*1000&lt;=$B68+$J$1,GetHumRatioFromEnthalpyAndTDryBulb(N$4*1000,$A68)*1000)</f>
        <v>7.3530676213330421</v>
      </c>
      <c r="O68" s="11">
        <f>IF(GetHumRatioFromEnthalpyAndTDryBulb(O$4*1000,$A68)*1000&lt;=$B68+$J$1,GetHumRatioFromEnthalpyAndTDryBulb(O$4*1000,$A68)*1000)</f>
        <v>15.169659118444812</v>
      </c>
      <c r="P68" s="11">
        <f>IF(GetHumRatioFromEnthalpyAndTDryBulb(P$4*1000,$A68)*1000&lt;=$B68+$J$1,GetHumRatioFromEnthalpyAndTDryBulb(P$4*1000,$A68)*1000)</f>
        <v>22.986250615556582</v>
      </c>
      <c r="Q68" s="11"/>
      <c r="R68" s="13">
        <f t="shared" si="8"/>
        <v>9.9999999999999991E-5</v>
      </c>
      <c r="S68" s="13">
        <f t="shared" si="8"/>
        <v>9.9999999999999991E-5</v>
      </c>
      <c r="T68" s="13">
        <f t="shared" si="8"/>
        <v>4.071444416179828</v>
      </c>
      <c r="U68" s="13">
        <f t="shared" si="8"/>
        <v>10.102350106809858</v>
      </c>
      <c r="V68" s="13">
        <f t="shared" si="8"/>
        <v>17.530152976477616</v>
      </c>
      <c r="W68" s="13">
        <f t="shared" si="8"/>
        <v>26.768304973607819</v>
      </c>
      <c r="X68" s="13" t="e">
        <f t="shared" si="8"/>
        <v>#N/A</v>
      </c>
      <c r="Y68" s="11">
        <f>IF(GetHumRatioFromVapPres(Y$4*1000,$E$1)&lt;GetSatHumRatio($A68,$E$1)+$J$1/1000,GetHumRatioFromVapPres(Y$4*1000,$E$1)*1000)</f>
        <v>6.199302267630201</v>
      </c>
      <c r="Z68" s="11">
        <f>IF(GetHumRatioFromVapPres(Z$4*1000,$E$1)&lt;GetSatHumRatio($A68,$E$1)+$J$1/1000,GetHumRatioFromVapPres(Z$4*1000,$E$1)*1000)</f>
        <v>12.523433173923985</v>
      </c>
      <c r="AA68" s="11">
        <f>IF(GetHumRatioFromVapPres(AA$4*1000,$E$1)&lt;GetSatHumRatio($A68,$E$1)+$J$1/1000,GetHumRatioFromVapPres(AA$4*1000,$E$1)*1000)</f>
        <v>18.976201372997711</v>
      </c>
      <c r="AB68" s="11">
        <f>IF(GetHumRatioFromVapPres(AB$4*1000,$E$1)&lt;GetSatHumRatio($A68,$E$1)+$J$1/1000,GetHumRatioFromVapPres(AB$4*1000,$E$1)*1000)</f>
        <v>25.561572052401743</v>
      </c>
      <c r="AC68" s="11"/>
    </row>
    <row r="69" spans="1:29" x14ac:dyDescent="0.25">
      <c r="A69" s="2">
        <f t="shared" si="9"/>
        <v>31.5</v>
      </c>
      <c r="B69" s="10">
        <f>GetSatHumRatio(A69,$E$1)*1000</f>
        <v>29.750769431498068</v>
      </c>
      <c r="C69" s="11">
        <f>GetHumRatioFromRelHum(A69,$C$4,$E$1)*1000</f>
        <v>26.648220595064529</v>
      </c>
      <c r="D69" s="11">
        <f>GetHumRatioFromRelHum($A69,D$4,$E$1)*1000</f>
        <v>23.575072595541876</v>
      </c>
      <c r="E69" s="11">
        <f>GetHumRatioFromRelHum($A69,E$4,$E$1)*1000</f>
        <v>20.530909484858391</v>
      </c>
      <c r="F69" s="11">
        <f>GetHumRatioFromRelHum($A69,F$4,$E$1)*1000</f>
        <v>17.515323124276932</v>
      </c>
      <c r="G69" s="11">
        <f>GetHumRatioFromRelHum($A69,G$4,$E$1)*1000</f>
        <v>14.527913001977952</v>
      </c>
      <c r="H69" s="11">
        <f>GetHumRatioFromRelHum($A69,H$4,$E$1)*1000</f>
        <v>11.568286055731951</v>
      </c>
      <c r="I69" s="11">
        <f>GetHumRatioFromRelHum($A69,I$4,$E$1)*1000</f>
        <v>8.6360565004965935</v>
      </c>
      <c r="J69" s="11">
        <f>GetHumRatioFromRelHum($A69,J$4,$E$1)*1000</f>
        <v>5.7308456607795391</v>
      </c>
      <c r="K69" s="11">
        <f>GetHumRatioFromRelHum($A69,K$4,$E$1)*1000</f>
        <v>2.8522818076140526</v>
      </c>
      <c r="L69" s="11">
        <f>IF(GetHumRatioFromEnthalpyAndTDryBulb(L$4*1000,$A69)*1000&lt;=$B69+$J$1,GetHumRatioFromEnthalpyAndTDryBulb(L$4*1000,$A69)*1000)</f>
        <v>-8.473622728640132</v>
      </c>
      <c r="M69" s="11">
        <f>IF(GetHumRatioFromEnthalpyAndTDryBulb(M$4*1000,$A69)*1000&lt;=$B69+$J$1,GetHumRatioFromEnthalpyAndTDryBulb(M$4*1000,$A69)*1000)</f>
        <v>-0.65987130751409406</v>
      </c>
      <c r="N69" s="11">
        <f>IF(GetHumRatioFromEnthalpyAndTDryBulb(N$4*1000,$A69)*1000&lt;=$B69+$J$1,GetHumRatioFromEnthalpyAndTDryBulb(N$4*1000,$A69)*1000)</f>
        <v>7.1538801136119448</v>
      </c>
      <c r="O69" s="11">
        <f>IF(GetHumRatioFromEnthalpyAndTDryBulb(O$4*1000,$A69)*1000&lt;=$B69+$J$1,GetHumRatioFromEnthalpyAndTDryBulb(O$4*1000,$A69)*1000)</f>
        <v>14.967631534737984</v>
      </c>
      <c r="P69" s="11">
        <f>IF(GetHumRatioFromEnthalpyAndTDryBulb(P$4*1000,$A69)*1000&lt;=$B69+$J$1,GetHumRatioFromEnthalpyAndTDryBulb(P$4*1000,$A69)*1000)</f>
        <v>22.781382955864022</v>
      </c>
      <c r="Q69" s="11">
        <f>IF(GetHumRatioFromEnthalpyAndTDryBulb(Q$4*1000,$A69)*1000&lt;=$B69+$J$1,GetHumRatioFromEnthalpyAndTDryBulb(Q$4*1000,$A69)*1000)</f>
        <v>30.595134376990067</v>
      </c>
      <c r="R69" s="13">
        <f t="shared" si="8"/>
        <v>9.9999999999999991E-5</v>
      </c>
      <c r="S69" s="13">
        <f t="shared" si="8"/>
        <v>9.9999999999999991E-5</v>
      </c>
      <c r="T69" s="13">
        <f t="shared" si="8"/>
        <v>3.868470031644804</v>
      </c>
      <c r="U69" s="13">
        <f t="shared" si="8"/>
        <v>9.8953944970244745</v>
      </c>
      <c r="V69" s="13">
        <f t="shared" si="8"/>
        <v>17.3186190724848</v>
      </c>
      <c r="W69" s="13">
        <f t="shared" si="8"/>
        <v>26.551422329894169</v>
      </c>
      <c r="X69" s="13" t="e">
        <f t="shared" si="8"/>
        <v>#N/A</v>
      </c>
      <c r="Y69" s="11">
        <f>IF(GetHumRatioFromVapPres(Y$4*1000,$E$1)&lt;GetSatHumRatio($A69,$E$1)+$J$1/1000,GetHumRatioFromVapPres(Y$4*1000,$E$1)*1000)</f>
        <v>6.199302267630201</v>
      </c>
      <c r="Z69" s="11">
        <f>IF(GetHumRatioFromVapPres(Z$4*1000,$E$1)&lt;GetSatHumRatio($A69,$E$1)+$J$1/1000,GetHumRatioFromVapPres(Z$4*1000,$E$1)*1000)</f>
        <v>12.523433173923985</v>
      </c>
      <c r="AA69" s="11">
        <f>IF(GetHumRatioFromVapPres(AA$4*1000,$E$1)&lt;GetSatHumRatio($A69,$E$1)+$J$1/1000,GetHumRatioFromVapPres(AA$4*1000,$E$1)*1000)</f>
        <v>18.976201372997711</v>
      </c>
      <c r="AB69" s="11">
        <f>IF(GetHumRatioFromVapPres(AB$4*1000,$E$1)&lt;GetSatHumRatio($A69,$E$1)+$J$1/1000,GetHumRatioFromVapPres(AB$4*1000,$E$1)*1000)</f>
        <v>25.561572052401743</v>
      </c>
      <c r="AC69" s="11"/>
    </row>
    <row r="70" spans="1:29" x14ac:dyDescent="0.25">
      <c r="A70" s="2">
        <f t="shared" si="9"/>
        <v>32</v>
      </c>
      <c r="B70" s="10">
        <f>GetSatHumRatio(A70,$E$1)*1000</f>
        <v>30.647767358452739</v>
      </c>
      <c r="C70" s="11">
        <f>GetHumRatioFromRelHum(A70,$C$4,$E$1)*1000</f>
        <v>27.447735605627251</v>
      </c>
      <c r="D70" s="11">
        <f>GetHumRatioFromRelHum($A70,D$4,$E$1)*1000</f>
        <v>24.278933848718065</v>
      </c>
      <c r="E70" s="11">
        <f>GetHumRatioFromRelHum($A70,E$4,$E$1)*1000</f>
        <v>21.140907134466687</v>
      </c>
      <c r="F70" s="11">
        <f>GetHumRatioFromRelHum($A70,F$4,$E$1)*1000</f>
        <v>18.033209303819206</v>
      </c>
      <c r="G70" s="11">
        <f>GetHumRatioFromRelHum($A70,G$4,$E$1)*1000</f>
        <v>14.955402780459218</v>
      </c>
      <c r="H70" s="11">
        <f>GetHumRatioFromRelHum($A70,H$4,$E$1)*1000</f>
        <v>11.907058365413546</v>
      </c>
      <c r="I70" s="11">
        <f>GetHumRatioFromRelHum($A70,I$4,$E$1)*1000</f>
        <v>8.8877550375282528</v>
      </c>
      <c r="J70" s="11">
        <f>GetHumRatioFromRelHum($A70,J$4,$E$1)*1000</f>
        <v>5.8970797596200883</v>
      </c>
      <c r="K70" s="11">
        <f>GetHumRatioFromRelHum($A70,K$4,$E$1)*1000</f>
        <v>2.9346272901159631</v>
      </c>
      <c r="L70" s="11">
        <f>IF(GetHumRatioFromEnthalpyAndTDryBulb(L$4*1000,$A70)*1000&lt;=$B70+$J$1,GetHumRatioFromEnthalpyAndTDryBulb(L$4*1000,$A70)*1000)</f>
        <v>-8.6669895177542049</v>
      </c>
      <c r="M70" s="11">
        <f>IF(GetHumRatioFromEnthalpyAndTDryBulb(M$4*1000,$A70)*1000&lt;=$B70+$J$1,GetHumRatioFromEnthalpyAndTDryBulb(M$4*1000,$A70)*1000)</f>
        <v>-0.85607610954024971</v>
      </c>
      <c r="N70" s="11">
        <f>IF(GetHumRatioFromEnthalpyAndTDryBulb(N$4*1000,$A70)*1000&lt;=$B70+$J$1,GetHumRatioFromEnthalpyAndTDryBulb(N$4*1000,$A70)*1000)</f>
        <v>6.9548372986737066</v>
      </c>
      <c r="O70" s="11">
        <f>IF(GetHumRatioFromEnthalpyAndTDryBulb(O$4*1000,$A70)*1000&lt;=$B70+$J$1,GetHumRatioFromEnthalpyAndTDryBulb(O$4*1000,$A70)*1000)</f>
        <v>14.765750706887664</v>
      </c>
      <c r="P70" s="11">
        <f>IF(GetHumRatioFromEnthalpyAndTDryBulb(P$4*1000,$A70)*1000&lt;=$B70+$J$1,GetHumRatioFromEnthalpyAndTDryBulb(P$4*1000,$A70)*1000)</f>
        <v>22.576664115101618</v>
      </c>
      <c r="Q70" s="11">
        <f>IF(GetHumRatioFromEnthalpyAndTDryBulb(Q$4*1000,$A70)*1000&lt;=$B70+$J$1,GetHumRatioFromEnthalpyAndTDryBulb(Q$4*1000,$A70)*1000)</f>
        <v>30.387577523315574</v>
      </c>
      <c r="R70" s="13">
        <f t="shared" si="8"/>
        <v>9.9999999999999991E-5</v>
      </c>
      <c r="S70" s="13">
        <f t="shared" si="8"/>
        <v>9.9999999999999991E-5</v>
      </c>
      <c r="T70" s="13">
        <f t="shared" si="8"/>
        <v>3.6656467972962434</v>
      </c>
      <c r="U70" s="13">
        <f t="shared" si="8"/>
        <v>9.6885943044848144</v>
      </c>
      <c r="V70" s="13">
        <f t="shared" si="8"/>
        <v>17.107245377730024</v>
      </c>
      <c r="W70" s="13">
        <f t="shared" si="8"/>
        <v>26.334705358319184</v>
      </c>
      <c r="X70" s="13" t="e">
        <f t="shared" si="8"/>
        <v>#N/A</v>
      </c>
      <c r="Y70" s="11">
        <f>IF(GetHumRatioFromVapPres(Y$4*1000,$E$1)&lt;GetSatHumRatio($A70,$E$1)+$J$1/1000,GetHumRatioFromVapPres(Y$4*1000,$E$1)*1000)</f>
        <v>6.199302267630201</v>
      </c>
      <c r="Z70" s="11">
        <f>IF(GetHumRatioFromVapPres(Z$4*1000,$E$1)&lt;GetSatHumRatio($A70,$E$1)+$J$1/1000,GetHumRatioFromVapPres(Z$4*1000,$E$1)*1000)</f>
        <v>12.523433173923985</v>
      </c>
      <c r="AA70" s="11">
        <f>IF(GetHumRatioFromVapPres(AA$4*1000,$E$1)&lt;GetSatHumRatio($A70,$E$1)+$J$1/1000,GetHumRatioFromVapPres(AA$4*1000,$E$1)*1000)</f>
        <v>18.976201372997711</v>
      </c>
      <c r="AB70" s="11">
        <f>IF(GetHumRatioFromVapPres(AB$4*1000,$E$1)&lt;GetSatHumRatio($A70,$E$1)+$J$1/1000,GetHumRatioFromVapPres(AB$4*1000,$E$1)*1000)</f>
        <v>25.561572052401743</v>
      </c>
      <c r="AC70" s="11"/>
    </row>
    <row r="71" spans="1:29" x14ac:dyDescent="0.25">
      <c r="A71" s="2">
        <f t="shared" si="9"/>
        <v>32.5</v>
      </c>
      <c r="B71" s="10">
        <f>GetSatHumRatio(A71,$E$1)*1000</f>
        <v>31.569624786380547</v>
      </c>
      <c r="C71" s="11">
        <f>GetHumRatioFromRelHum(A71,$C$4,$E$1)*1000</f>
        <v>28.269169383055313</v>
      </c>
      <c r="D71" s="11">
        <f>GetHumRatioFromRelHum($A71,D$4,$E$1)*1000</f>
        <v>25.001883150773448</v>
      </c>
      <c r="E71" s="11">
        <f>GetHumRatioFromRelHum($A71,E$4,$E$1)*1000</f>
        <v>21.767268570401296</v>
      </c>
      <c r="F71" s="11">
        <f>GetHumRatioFromRelHum($A71,F$4,$E$1)*1000</f>
        <v>18.564838023318515</v>
      </c>
      <c r="G71" s="11">
        <f>GetHumRatioFromRelHum($A71,G$4,$E$1)*1000</f>
        <v>15.394113546364849</v>
      </c>
      <c r="H71" s="11">
        <f>GetHumRatioFromRelHum($A71,H$4,$E$1)*1000</f>
        <v>12.25462659402962</v>
      </c>
      <c r="I71" s="11">
        <f>GetHumRatioFromRelHum($A71,I$4,$E$1)*1000</f>
        <v>9.1459178076353194</v>
      </c>
      <c r="J71" s="11">
        <f>GetHumRatioFromRelHum($A71,J$4,$E$1)*1000</f>
        <v>6.0675367912766562</v>
      </c>
      <c r="K71" s="11">
        <f>GetHumRatioFromRelHum($A71,K$4,$E$1)*1000</f>
        <v>3.019041894285329</v>
      </c>
      <c r="L71" s="11">
        <f>IF(GetHumRatioFromEnthalpyAndTDryBulb(L$4*1000,$A71)*1000&lt;=$B71+$J$1,GetHumRatioFromEnthalpyAndTDryBulb(L$4*1000,$A71)*1000)</f>
        <v>-8.8602158933416622</v>
      </c>
      <c r="M71" s="11">
        <f>IF(GetHumRatioFromEnthalpyAndTDryBulb(M$4*1000,$A71)*1000&lt;=$B71+$J$1,GetHumRatioFromEnthalpyAndTDryBulb(M$4*1000,$A71)*1000)</f>
        <v>-1.0521384372132971</v>
      </c>
      <c r="N71" s="11">
        <f>IF(GetHumRatioFromEnthalpyAndTDryBulb(N$4*1000,$A71)*1000&lt;=$B71+$J$1,GetHumRatioFromEnthalpyAndTDryBulb(N$4*1000,$A71)*1000)</f>
        <v>6.7559390189150683</v>
      </c>
      <c r="O71" s="11">
        <f>IF(GetHumRatioFromEnthalpyAndTDryBulb(O$4*1000,$A71)*1000&lt;=$B71+$J$1,GetHumRatioFromEnthalpyAndTDryBulb(O$4*1000,$A71)*1000)</f>
        <v>14.564016475043434</v>
      </c>
      <c r="P71" s="11">
        <f>IF(GetHumRatioFromEnthalpyAndTDryBulb(P$4*1000,$A71)*1000&lt;=$B71+$J$1,GetHumRatioFromEnthalpyAndTDryBulb(P$4*1000,$A71)*1000)</f>
        <v>22.372093931171797</v>
      </c>
      <c r="Q71" s="11">
        <f>IF(GetHumRatioFromEnthalpyAndTDryBulb(Q$4*1000,$A71)*1000&lt;=$B71+$J$1,GetHumRatioFromEnthalpyAndTDryBulb(Q$4*1000,$A71)*1000)</f>
        <v>30.180171387300167</v>
      </c>
      <c r="R71" s="13">
        <f t="shared" ref="R71:X96" si="10">GetHumRatioFromTWetBulb($A71,R$4,$E$1)*1000</f>
        <v>9.9999999999999991E-5</v>
      </c>
      <c r="S71" s="13">
        <f t="shared" si="10"/>
        <v>9.9999999999999991E-5</v>
      </c>
      <c r="T71" s="13">
        <f t="shared" si="10"/>
        <v>3.4629745443600757</v>
      </c>
      <c r="U71" s="13">
        <f t="shared" si="10"/>
        <v>9.4819493541862876</v>
      </c>
      <c r="V71" s="13">
        <f t="shared" si="10"/>
        <v>16.896031710275903</v>
      </c>
      <c r="W71" s="13">
        <f t="shared" si="10"/>
        <v>26.118153869125081</v>
      </c>
      <c r="X71" s="13" t="e">
        <f t="shared" si="10"/>
        <v>#N/A</v>
      </c>
      <c r="Y71" s="11">
        <f>IF(GetHumRatioFromVapPres(Y$4*1000,$E$1)&lt;GetSatHumRatio($A71,$E$1)+$J$1/1000,GetHumRatioFromVapPres(Y$4*1000,$E$1)*1000)</f>
        <v>6.199302267630201</v>
      </c>
      <c r="Z71" s="11">
        <f>IF(GetHumRatioFromVapPres(Z$4*1000,$E$1)&lt;GetSatHumRatio($A71,$E$1)+$J$1/1000,GetHumRatioFromVapPres(Z$4*1000,$E$1)*1000)</f>
        <v>12.523433173923985</v>
      </c>
      <c r="AA71" s="11">
        <f>IF(GetHumRatioFromVapPres(AA$4*1000,$E$1)&lt;GetSatHumRatio($A71,$E$1)+$J$1/1000,GetHumRatioFromVapPres(AA$4*1000,$E$1)*1000)</f>
        <v>18.976201372997711</v>
      </c>
      <c r="AB71" s="11">
        <f>IF(GetHumRatioFromVapPres(AB$4*1000,$E$1)&lt;GetSatHumRatio($A71,$E$1)+$J$1/1000,GetHumRatioFromVapPres(AB$4*1000,$E$1)*1000)</f>
        <v>25.561572052401743</v>
      </c>
      <c r="AC71" s="11">
        <f>IF(GetHumRatioFromVapPres(AC$4*1000,$E$1)&lt;GetSatHumRatio($A71,$E$1)+$J$1/1000,GetHumRatioFromVapPres(AC$4*1000,$E$1)*1000)</f>
        <v>32.283675058396057</v>
      </c>
    </row>
    <row r="72" spans="1:29" x14ac:dyDescent="0.25">
      <c r="A72" s="2">
        <f t="shared" si="9"/>
        <v>33</v>
      </c>
      <c r="B72" s="10">
        <f>GetSatHumRatio(A72,$E$1)*1000</f>
        <v>32.517005632757332</v>
      </c>
      <c r="C72" s="11">
        <f>GetHumRatioFromRelHum(A72,$C$4,$E$1)*1000</f>
        <v>29.113093759196158</v>
      </c>
      <c r="D72" s="11">
        <f>GetHumRatioFromRelHum($A72,D$4,$E$1)*1000</f>
        <v>25.744406741444177</v>
      </c>
      <c r="E72" s="11">
        <f>GetHumRatioFromRelHum($A72,E$4,$E$1)*1000</f>
        <v>22.410400615602207</v>
      </c>
      <c r="F72" s="11">
        <f>GetHumRatioFromRelHum($A72,F$4,$E$1)*1000</f>
        <v>19.110542560712691</v>
      </c>
      <c r="G72" s="11">
        <f>GetHumRatioFromRelHum($A72,G$4,$E$1)*1000</f>
        <v>15.844310614888592</v>
      </c>
      <c r="H72" s="11">
        <f>GetHumRatioFromRelHum($A72,H$4,$E$1)*1000</f>
        <v>12.611193400076306</v>
      </c>
      <c r="I72" s="11">
        <f>GetHumRatioFromRelHum($A72,I$4,$E$1)*1000</f>
        <v>9.4106898551479503</v>
      </c>
      <c r="J72" s="11">
        <f>GetHumRatioFromRelHum($A72,J$4,$E$1)*1000</f>
        <v>6.2423089770302029</v>
      </c>
      <c r="K72" s="11">
        <f>GetHumRatioFromRelHum($A72,K$4,$E$1)*1000</f>
        <v>3.1055695695889605</v>
      </c>
      <c r="L72" s="11">
        <f>IF(GetHumRatioFromEnthalpyAndTDryBulb(L$4*1000,$A72)*1000&lt;=$B72+$J$1,GetHumRatioFromEnthalpyAndTDryBulb(L$4*1000,$A72)*1000)</f>
        <v>-9.0533020082891689</v>
      </c>
      <c r="M72" s="11">
        <f>IF(GetHumRatioFromEnthalpyAndTDryBulb(M$4*1000,$A72)*1000&lt;=$B72+$J$1,GetHumRatioFromEnthalpyAndTDryBulb(M$4*1000,$A72)*1000)</f>
        <v>-1.2480584456637971</v>
      </c>
      <c r="N72" s="11">
        <f>IF(GetHumRatioFromEnthalpyAndTDryBulb(N$4*1000,$A72)*1000&lt;=$B72+$J$1,GetHumRatioFromEnthalpyAndTDryBulb(N$4*1000,$A72)*1000)</f>
        <v>6.5571851169615742</v>
      </c>
      <c r="O72" s="11">
        <f>IF(GetHumRatioFromEnthalpyAndTDryBulb(O$4*1000,$A72)*1000&lt;=$B72+$J$1,GetHumRatioFromEnthalpyAndTDryBulb(O$4*1000,$A72)*1000)</f>
        <v>14.362428679586946</v>
      </c>
      <c r="P72" s="11">
        <f>IF(GetHumRatioFromEnthalpyAndTDryBulb(P$4*1000,$A72)*1000&lt;=$B72+$J$1,GetHumRatioFromEnthalpyAndTDryBulb(P$4*1000,$A72)*1000)</f>
        <v>22.167672242212316</v>
      </c>
      <c r="Q72" s="11">
        <f>IF(GetHumRatioFromEnthalpyAndTDryBulb(Q$4*1000,$A72)*1000&lt;=$B72+$J$1,GetHumRatioFromEnthalpyAndTDryBulb(Q$4*1000,$A72)*1000)</f>
        <v>29.972915804837687</v>
      </c>
      <c r="R72" s="13">
        <f t="shared" si="10"/>
        <v>9.9999999999999991E-5</v>
      </c>
      <c r="S72" s="13">
        <f t="shared" si="10"/>
        <v>9.9999999999999991E-5</v>
      </c>
      <c r="T72" s="13">
        <f t="shared" si="10"/>
        <v>3.260453104313406</v>
      </c>
      <c r="U72" s="13">
        <f t="shared" si="10"/>
        <v>9.275459471386954</v>
      </c>
      <c r="V72" s="13">
        <f t="shared" si="10"/>
        <v>16.684977888460423</v>
      </c>
      <c r="W72" s="13">
        <f t="shared" si="10"/>
        <v>25.901767672843771</v>
      </c>
      <c r="X72" s="13" t="e">
        <f t="shared" si="10"/>
        <v>#N/A</v>
      </c>
      <c r="Y72" s="11">
        <f>IF(GetHumRatioFromVapPres(Y$4*1000,$E$1)&lt;GetSatHumRatio($A72,$E$1)+$J$1/1000,GetHumRatioFromVapPres(Y$4*1000,$E$1)*1000)</f>
        <v>6.199302267630201</v>
      </c>
      <c r="Z72" s="11">
        <f>IF(GetHumRatioFromVapPres(Z$4*1000,$E$1)&lt;GetSatHumRatio($A72,$E$1)+$J$1/1000,GetHumRatioFromVapPres(Z$4*1000,$E$1)*1000)</f>
        <v>12.523433173923985</v>
      </c>
      <c r="AA72" s="11">
        <f>IF(GetHumRatioFromVapPres(AA$4*1000,$E$1)&lt;GetSatHumRatio($A72,$E$1)+$J$1/1000,GetHumRatioFromVapPres(AA$4*1000,$E$1)*1000)</f>
        <v>18.976201372997711</v>
      </c>
      <c r="AB72" s="11">
        <f>IF(GetHumRatioFromVapPres(AB$4*1000,$E$1)&lt;GetSatHumRatio($A72,$E$1)+$J$1/1000,GetHumRatioFromVapPres(AB$4*1000,$E$1)*1000)</f>
        <v>25.561572052401743</v>
      </c>
      <c r="AC72" s="11">
        <f>IF(GetHumRatioFromVapPres(AC$4*1000,$E$1)&lt;GetSatHumRatio($A72,$E$1)+$J$1/1000,GetHumRatioFromVapPres(AC$4*1000,$E$1)*1000)</f>
        <v>32.283675058396057</v>
      </c>
    </row>
    <row r="73" spans="1:29" x14ac:dyDescent="0.25">
      <c r="A73" s="2">
        <f t="shared" si="9"/>
        <v>33.5</v>
      </c>
      <c r="B73" s="10">
        <f>GetSatHumRatio(A73,$E$1)*1000</f>
        <v>33.490593038665587</v>
      </c>
      <c r="C73" s="11">
        <f>GetHumRatioFromRelHum(A73,$C$4,$E$1)*1000</f>
        <v>29.980096435842889</v>
      </c>
      <c r="D73" s="11">
        <f>GetHumRatioFromRelHum($A73,D$4,$E$1)*1000</f>
        <v>26.507003762088605</v>
      </c>
      <c r="E73" s="11">
        <f>GetHumRatioFromRelHum($A73,E$4,$E$1)*1000</f>
        <v>23.070720383571683</v>
      </c>
      <c r="F73" s="11">
        <f>GetHumRatioFromRelHum($A73,F$4,$E$1)*1000</f>
        <v>19.67066420437834</v>
      </c>
      <c r="G73" s="11">
        <f>GetHumRatioFromRelHum($A73,G$4,$E$1)*1000</f>
        <v>16.306265337790656</v>
      </c>
      <c r="H73" s="11">
        <f>GetHumRatioFromRelHum($A73,H$4,$E$1)*1000</f>
        <v>12.976965787853484</v>
      </c>
      <c r="I73" s="11">
        <f>GetHumRatioFromRelHum($A73,I$4,$E$1)*1000</f>
        <v>9.6822191408557892</v>
      </c>
      <c r="J73" s="11">
        <f>GetHumRatioFromRelHum($A73,J$4,$E$1)*1000</f>
        <v>6.4214902663682798</v>
      </c>
      <c r="K73" s="11">
        <f>GetHumRatioFromRelHum($A73,K$4,$E$1)*1000</f>
        <v>3.1942550274936456</v>
      </c>
      <c r="L73" s="11">
        <f>IF(GetHumRatioFromEnthalpyAndTDryBulb(L$4*1000,$A73)*1000&lt;=$B73+$J$1,GetHumRatioFromEnthalpyAndTDryBulb(L$4*1000,$A73)*1000)</f>
        <v>-9.2462480152615178</v>
      </c>
      <c r="M73" s="11">
        <f>IF(GetHumRatioFromEnthalpyAndTDryBulb(M$4*1000,$A73)*1000&lt;=$B73+$J$1,GetHumRatioFromEnthalpyAndTDryBulb(M$4*1000,$A73)*1000)</f>
        <v>-1.4438362897971764</v>
      </c>
      <c r="N73" s="11">
        <f>IF(GetHumRatioFromEnthalpyAndTDryBulb(N$4*1000,$A73)*1000&lt;=$B73+$J$1,GetHumRatioFromEnthalpyAndTDryBulb(N$4*1000,$A73)*1000)</f>
        <v>6.3585754356671647</v>
      </c>
      <c r="O73" s="11">
        <f>IF(GetHumRatioFromEnthalpyAndTDryBulb(O$4*1000,$A73)*1000&lt;=$B73+$J$1,GetHumRatioFromEnthalpyAndTDryBulb(O$4*1000,$A73)*1000)</f>
        <v>14.160987161131505</v>
      </c>
      <c r="P73" s="11">
        <f>IF(GetHumRatioFromEnthalpyAndTDryBulb(P$4*1000,$A73)*1000&lt;=$B73+$J$1,GetHumRatioFromEnthalpyAndTDryBulb(P$4*1000,$A73)*1000)</f>
        <v>21.963398886595847</v>
      </c>
      <c r="Q73" s="11">
        <f>IF(GetHumRatioFromEnthalpyAndTDryBulb(Q$4*1000,$A73)*1000&lt;=$B73+$J$1,GetHumRatioFromEnthalpyAndTDryBulb(Q$4*1000,$A73)*1000)</f>
        <v>29.765810612060189</v>
      </c>
      <c r="R73" s="13">
        <f t="shared" si="10"/>
        <v>9.9999999999999991E-5</v>
      </c>
      <c r="S73" s="13">
        <f t="shared" si="10"/>
        <v>9.9999999999999991E-5</v>
      </c>
      <c r="T73" s="13">
        <f t="shared" si="10"/>
        <v>3.058082308884051</v>
      </c>
      <c r="U73" s="13">
        <f t="shared" si="10"/>
        <v>9.0691244816070355</v>
      </c>
      <c r="V73" s="13">
        <f t="shared" si="10"/>
        <v>16.474083730896439</v>
      </c>
      <c r="W73" s="13">
        <f t="shared" si="10"/>
        <v>25.685546580296304</v>
      </c>
      <c r="X73" s="13" t="e">
        <f t="shared" si="10"/>
        <v>#N/A</v>
      </c>
      <c r="Y73" s="11">
        <f>IF(GetHumRatioFromVapPres(Y$4*1000,$E$1)&lt;GetSatHumRatio($A73,$E$1)+$J$1/1000,GetHumRatioFromVapPres(Y$4*1000,$E$1)*1000)</f>
        <v>6.199302267630201</v>
      </c>
      <c r="Z73" s="11">
        <f>IF(GetHumRatioFromVapPres(Z$4*1000,$E$1)&lt;GetSatHumRatio($A73,$E$1)+$J$1/1000,GetHumRatioFromVapPres(Z$4*1000,$E$1)*1000)</f>
        <v>12.523433173923985</v>
      </c>
      <c r="AA73" s="11">
        <f>IF(GetHumRatioFromVapPres(AA$4*1000,$E$1)&lt;GetSatHumRatio($A73,$E$1)+$J$1/1000,GetHumRatioFromVapPres(AA$4*1000,$E$1)*1000)</f>
        <v>18.976201372997711</v>
      </c>
      <c r="AB73" s="11">
        <f>IF(GetHumRatioFromVapPres(AB$4*1000,$E$1)&lt;GetSatHumRatio($A73,$E$1)+$J$1/1000,GetHumRatioFromVapPres(AB$4*1000,$E$1)*1000)</f>
        <v>25.561572052401743</v>
      </c>
      <c r="AC73" s="11">
        <f>IF(GetHumRatioFromVapPres(AC$4*1000,$E$1)&lt;GetSatHumRatio($A73,$E$1)+$J$1/1000,GetHumRatioFromVapPres(AC$4*1000,$E$1)*1000)</f>
        <v>32.283675058396057</v>
      </c>
    </row>
    <row r="74" spans="1:29" x14ac:dyDescent="0.25">
      <c r="A74" s="2">
        <f t="shared" si="9"/>
        <v>34</v>
      </c>
      <c r="B74" s="10">
        <f>GetSatHumRatio(A74,$E$1)*1000</f>
        <v>34.49109006601735</v>
      </c>
      <c r="C74" s="11">
        <f>GetHumRatioFromRelHum(A74,$C$4,$E$1)*1000</f>
        <v>30.870781531129587</v>
      </c>
      <c r="D74" s="11">
        <f>GetHumRatioFromRelHum($A74,D$4,$E$1)*1000</f>
        <v>27.290186674998857</v>
      </c>
      <c r="E74" s="11">
        <f>GetHumRatioFromRelHum($A74,E$4,$E$1)*1000</f>
        <v>23.748655591871607</v>
      </c>
      <c r="F74" s="11">
        <f>GetHumRatioFromRelHum($A74,F$4,$E$1)*1000</f>
        <v>20.245552479814876</v>
      </c>
      <c r="G74" s="11">
        <f>GetHumRatioFromRelHum($A74,G$4,$E$1)*1000</f>
        <v>16.780255260191129</v>
      </c>
      <c r="H74" s="11">
        <f>GetHumRatioFromRelHum($A74,H$4,$E$1)*1000</f>
        <v>13.352155209387032</v>
      </c>
      <c r="I74" s="11">
        <f>GetHumRatioFromRelHum($A74,I$4,$E$1)*1000</f>
        <v>9.9606566023381582</v>
      </c>
      <c r="J74" s="11">
        <f>GetHumRatioFromRelHum($A74,J$4,$E$1)*1000</f>
        <v>6.6051763674112394</v>
      </c>
      <c r="K74" s="11">
        <f>GetHumRatioFromRelHum($A74,K$4,$E$1)*1000</f>
        <v>3.2851437522239468</v>
      </c>
      <c r="L74" s="11">
        <f>IF(GetHumRatioFromEnthalpyAndTDryBulb(L$4*1000,$A74)*1000&lt;=$B74+$J$1,GetHumRatioFromEnthalpyAndTDryBulb(L$4*1000,$A74)*1000)</f>
        <v>-9.4390540667020257</v>
      </c>
      <c r="M74" s="11">
        <f>IF(GetHumRatioFromEnthalpyAndTDryBulb(M$4*1000,$A74)*1000&lt;=$B74+$J$1,GetHumRatioFromEnthalpyAndTDryBulb(M$4*1000,$A74)*1000)</f>
        <v>-1.6394721242941381</v>
      </c>
      <c r="N74" s="11">
        <f>IF(GetHumRatioFromEnthalpyAndTDryBulb(N$4*1000,$A74)*1000&lt;=$B74+$J$1,GetHumRatioFromEnthalpyAndTDryBulb(N$4*1000,$A74)*1000)</f>
        <v>6.1601098181137495</v>
      </c>
      <c r="O74" s="11">
        <f>IF(GetHumRatioFromEnthalpyAndTDryBulb(O$4*1000,$A74)*1000&lt;=$B74+$J$1,GetHumRatioFromEnthalpyAndTDryBulb(O$4*1000,$A74)*1000)</f>
        <v>13.959691760521636</v>
      </c>
      <c r="P74" s="11">
        <f>IF(GetHumRatioFromEnthalpyAndTDryBulb(P$4*1000,$A74)*1000&lt;=$B74+$J$1,GetHumRatioFromEnthalpyAndTDryBulb(P$4*1000,$A74)*1000)</f>
        <v>21.759273702929526</v>
      </c>
      <c r="Q74" s="11">
        <f>IF(GetHumRatioFromEnthalpyAndTDryBulb(Q$4*1000,$A74)*1000&lt;=$B74+$J$1,GetHumRatioFromEnthalpyAndTDryBulb(Q$4*1000,$A74)*1000)</f>
        <v>29.55885564533741</v>
      </c>
      <c r="R74" s="13">
        <f t="shared" si="10"/>
        <v>9.9999999999999991E-5</v>
      </c>
      <c r="S74" s="13">
        <f t="shared" si="10"/>
        <v>9.9999999999999991E-5</v>
      </c>
      <c r="T74" s="13">
        <f t="shared" si="10"/>
        <v>2.8558619900500699</v>
      </c>
      <c r="U74" s="13">
        <f t="shared" si="10"/>
        <v>8.8629442106284131</v>
      </c>
      <c r="V74" s="13">
        <f t="shared" si="10"/>
        <v>16.263349056471132</v>
      </c>
      <c r="W74" s="13">
        <f t="shared" si="10"/>
        <v>25.469490402592289</v>
      </c>
      <c r="X74" s="13" t="e">
        <f t="shared" si="10"/>
        <v>#N/A</v>
      </c>
      <c r="Y74" s="11">
        <f>IF(GetHumRatioFromVapPres(Y$4*1000,$E$1)&lt;GetSatHumRatio($A74,$E$1)+$J$1/1000,GetHumRatioFromVapPres(Y$4*1000,$E$1)*1000)</f>
        <v>6.199302267630201</v>
      </c>
      <c r="Z74" s="11">
        <f>IF(GetHumRatioFromVapPres(Z$4*1000,$E$1)&lt;GetSatHumRatio($A74,$E$1)+$J$1/1000,GetHumRatioFromVapPres(Z$4*1000,$E$1)*1000)</f>
        <v>12.523433173923985</v>
      </c>
      <c r="AA74" s="11">
        <f>IF(GetHumRatioFromVapPres(AA$4*1000,$E$1)&lt;GetSatHumRatio($A74,$E$1)+$J$1/1000,GetHumRatioFromVapPres(AA$4*1000,$E$1)*1000)</f>
        <v>18.976201372997711</v>
      </c>
      <c r="AB74" s="11">
        <f>IF(GetHumRatioFromVapPres(AB$4*1000,$E$1)&lt;GetSatHumRatio($A74,$E$1)+$J$1/1000,GetHumRatioFromVapPres(AB$4*1000,$E$1)*1000)</f>
        <v>25.561572052401743</v>
      </c>
      <c r="AC74" s="11">
        <f>IF(GetHumRatioFromVapPres(AC$4*1000,$E$1)&lt;GetSatHumRatio($A74,$E$1)+$J$1/1000,GetHumRatioFromVapPres(AC$4*1000,$E$1)*1000)</f>
        <v>32.283675058396057</v>
      </c>
    </row>
    <row r="75" spans="1:29" x14ac:dyDescent="0.25">
      <c r="A75" s="2">
        <f t="shared" si="9"/>
        <v>34.5</v>
      </c>
      <c r="B75" s="10">
        <f>GetSatHumRatio(A75,$E$1)*1000</f>
        <v>35.519220427008904</v>
      </c>
      <c r="C75" s="11">
        <f>GetHumRatioFromRelHum(A75,$C$4,$E$1)*1000</f>
        <v>31.785770150074644</v>
      </c>
      <c r="D75" s="11">
        <f>GetHumRatioFromRelHum($A75,D$4,$E$1)*1000</f>
        <v>28.094481700345554</v>
      </c>
      <c r="E75" s="11">
        <f>GetHumRatioFromRelHum($A75,E$4,$E$1)*1000</f>
        <v>24.444644888086987</v>
      </c>
      <c r="F75" s="11">
        <f>GetHumRatioFromRelHum($A75,F$4,$E$1)*1000</f>
        <v>20.835565384778885</v>
      </c>
      <c r="G75" s="11">
        <f>GetHumRatioFromRelHum($A75,G$4,$E$1)*1000</f>
        <v>17.26656428277348</v>
      </c>
      <c r="H75" s="11">
        <f>GetHumRatioFromRelHum($A75,H$4,$E$1)*1000</f>
        <v>13.736977669541853</v>
      </c>
      <c r="I75" s="11">
        <f>GetHumRatioFromRelHum($A75,I$4,$E$1)*1000</f>
        <v>10.246156215948556</v>
      </c>
      <c r="J75" s="11">
        <f>GetHumRatioFromRelHum($A75,J$4,$E$1)*1000</f>
        <v>6.793464778017956</v>
      </c>
      <c r="K75" s="11">
        <f>GetHumRatioFromRelHum($A75,K$4,$E$1)*1000</f>
        <v>3.3782820116793464</v>
      </c>
      <c r="L75" s="11">
        <f>IF(GetHumRatioFromEnthalpyAndTDryBulb(L$4*1000,$A75)*1000&lt;=$B75+$J$1,GetHumRatioFromEnthalpyAndTDryBulb(L$4*1000,$A75)*1000)</f>
        <v>-9.6317203148329362</v>
      </c>
      <c r="M75" s="11">
        <f>IF(GetHumRatioFromEnthalpyAndTDryBulb(M$4*1000,$A75)*1000&lt;=$B75+$J$1,GetHumRatioFromEnthalpyAndTDryBulb(M$4*1000,$A75)*1000)</f>
        <v>-1.8349661036110669</v>
      </c>
      <c r="N75" s="11">
        <f>IF(GetHumRatioFromEnthalpyAndTDryBulb(N$4*1000,$A75)*1000&lt;=$B75+$J$1,GetHumRatioFromEnthalpyAndTDryBulb(N$4*1000,$A75)*1000)</f>
        <v>5.9617881076108015</v>
      </c>
      <c r="O75" s="11">
        <f>IF(GetHumRatioFromEnthalpyAndTDryBulb(O$4*1000,$A75)*1000&lt;=$B75+$J$1,GetHumRatioFromEnthalpyAndTDryBulb(O$4*1000,$A75)*1000)</f>
        <v>13.758542318832669</v>
      </c>
      <c r="P75" s="11">
        <f>IF(GetHumRatioFromEnthalpyAndTDryBulb(P$4*1000,$A75)*1000&lt;=$B75+$J$1,GetHumRatioFromEnthalpyAndTDryBulb(P$4*1000,$A75)*1000)</f>
        <v>21.555296530054537</v>
      </c>
      <c r="Q75" s="11">
        <f>IF(GetHumRatioFromEnthalpyAndTDryBulb(Q$4*1000,$A75)*1000&lt;=$B75+$J$1,GetHumRatioFromEnthalpyAndTDryBulb(Q$4*1000,$A75)*1000)</f>
        <v>29.352050741276411</v>
      </c>
      <c r="R75" s="13">
        <f t="shared" si="10"/>
        <v>9.9999999999999991E-5</v>
      </c>
      <c r="S75" s="13">
        <f t="shared" si="10"/>
        <v>9.9999999999999991E-5</v>
      </c>
      <c r="T75" s="13">
        <f t="shared" si="10"/>
        <v>2.6537919800393008</v>
      </c>
      <c r="U75" s="13">
        <f t="shared" si="10"/>
        <v>8.6569184844941418</v>
      </c>
      <c r="V75" s="13">
        <f t="shared" si="10"/>
        <v>16.052773684345517</v>
      </c>
      <c r="W75" s="13">
        <f t="shared" si="10"/>
        <v>25.253598951129376</v>
      </c>
      <c r="X75" s="13" t="e">
        <f t="shared" si="10"/>
        <v>#N/A</v>
      </c>
      <c r="Y75" s="11">
        <f>IF(GetHumRatioFromVapPres(Y$4*1000,$E$1)&lt;GetSatHumRatio($A75,$E$1)+$J$1/1000,GetHumRatioFromVapPres(Y$4*1000,$E$1)*1000)</f>
        <v>6.199302267630201</v>
      </c>
      <c r="Z75" s="11">
        <f>IF(GetHumRatioFromVapPres(Z$4*1000,$E$1)&lt;GetSatHumRatio($A75,$E$1)+$J$1/1000,GetHumRatioFromVapPres(Z$4*1000,$E$1)*1000)</f>
        <v>12.523433173923985</v>
      </c>
      <c r="AA75" s="11">
        <f>IF(GetHumRatioFromVapPres(AA$4*1000,$E$1)&lt;GetSatHumRatio($A75,$E$1)+$J$1/1000,GetHumRatioFromVapPres(AA$4*1000,$E$1)*1000)</f>
        <v>18.976201372997711</v>
      </c>
      <c r="AB75" s="11">
        <f>IF(GetHumRatioFromVapPres(AB$4*1000,$E$1)&lt;GetSatHumRatio($A75,$E$1)+$J$1/1000,GetHumRatioFromVapPres(AB$4*1000,$E$1)*1000)</f>
        <v>25.561572052401743</v>
      </c>
      <c r="AC75" s="11">
        <f>IF(GetHumRatioFromVapPres(AC$4*1000,$E$1)&lt;GetSatHumRatio($A75,$E$1)+$J$1/1000,GetHumRatioFromVapPres(AC$4*1000,$E$1)*1000)</f>
        <v>32.283675058396057</v>
      </c>
    </row>
    <row r="76" spans="1:29" x14ac:dyDescent="0.25">
      <c r="A76" s="2">
        <f t="shared" si="9"/>
        <v>35</v>
      </c>
      <c r="B76" s="10">
        <f>GetSatHumRatio(A76,$E$1)*1000</f>
        <v>36.575729247562727</v>
      </c>
      <c r="C76" s="11">
        <f>GetHumRatioFromRelHum(A76,$C$4,$E$1)*1000</f>
        <v>32.725700980533318</v>
      </c>
      <c r="D76" s="11">
        <f>GetHumRatioFromRelHum($A76,D$4,$E$1)*1000</f>
        <v>28.920429271636223</v>
      </c>
      <c r="E76" s="11">
        <f>GetHumRatioFromRelHum($A76,E$4,$E$1)*1000</f>
        <v>25.159138188848814</v>
      </c>
      <c r="F76" s="11">
        <f>GetHumRatioFromRelHum($A76,F$4,$E$1)*1000</f>
        <v>21.441069633250024</v>
      </c>
      <c r="G76" s="11">
        <f>GetHumRatioFromRelHum($A76,G$4,$E$1)*1000</f>
        <v>17.765482829628574</v>
      </c>
      <c r="H76" s="11">
        <f>GetHumRatioFromRelHum($A76,H$4,$E$1)*1000</f>
        <v>14.13165383445261</v>
      </c>
      <c r="I76" s="11">
        <f>GetHumRatioFromRelHum($A76,I$4,$E$1)*1000</f>
        <v>10.538875060514254</v>
      </c>
      <c r="J76" s="11">
        <f>GetHumRatioFromRelHum($A76,J$4,$E$1)*1000</f>
        <v>6.9864548175934802</v>
      </c>
      <c r="K76" s="11">
        <f>GetHumRatioFromRelHum($A76,K$4,$E$1)*1000</f>
        <v>3.4737168685150492</v>
      </c>
      <c r="L76" s="11">
        <f>IF(GetHumRatioFromEnthalpyAndTDryBulb(L$4*1000,$A76)*1000&lt;=$B76+$J$1,GetHumRatioFromEnthalpyAndTDryBulb(L$4*1000,$A76)*1000)</f>
        <v>-9.8242469116558198</v>
      </c>
      <c r="M76" s="11">
        <f>IF(GetHumRatioFromEnthalpyAndTDryBulb(M$4*1000,$A76)*1000&lt;=$B76+$J$1,GetHumRatioFromEnthalpyAndTDryBulb(M$4*1000,$A76)*1000)</f>
        <v>-2.0303183819804373</v>
      </c>
      <c r="N76" s="11">
        <f>IF(GetHumRatioFromEnthalpyAndTDryBulb(N$4*1000,$A76)*1000&lt;=$B76+$J$1,GetHumRatioFromEnthalpyAndTDryBulb(N$4*1000,$A76)*1000)</f>
        <v>5.7636101476949451</v>
      </c>
      <c r="O76" s="11">
        <f>IF(GetHumRatioFromEnthalpyAndTDryBulb(O$4*1000,$A76)*1000&lt;=$B76+$J$1,GetHumRatioFromEnthalpyAndTDryBulb(O$4*1000,$A76)*1000)</f>
        <v>13.55753867737033</v>
      </c>
      <c r="P76" s="11">
        <f>IF(GetHumRatioFromEnthalpyAndTDryBulb(P$4*1000,$A76)*1000&lt;=$B76+$J$1,GetHumRatioFromEnthalpyAndTDryBulb(P$4*1000,$A76)*1000)</f>
        <v>21.351467207045712</v>
      </c>
      <c r="Q76" s="11">
        <f>IF(GetHumRatioFromEnthalpyAndTDryBulb(Q$4*1000,$A76)*1000&lt;=$B76+$J$1,GetHumRatioFromEnthalpyAndTDryBulb(Q$4*1000,$A76)*1000)</f>
        <v>29.145395736721092</v>
      </c>
      <c r="R76" s="13">
        <f t="shared" si="10"/>
        <v>9.9999999999999991E-5</v>
      </c>
      <c r="S76" s="13">
        <f t="shared" si="10"/>
        <v>9.9999999999999991E-5</v>
      </c>
      <c r="T76" s="13">
        <f t="shared" si="10"/>
        <v>2.4518721113288993</v>
      </c>
      <c r="U76" s="13">
        <f t="shared" si="10"/>
        <v>8.4510471295079679</v>
      </c>
      <c r="V76" s="13">
        <f t="shared" si="10"/>
        <v>15.842357433953902</v>
      </c>
      <c r="W76" s="13">
        <f t="shared" si="10"/>
        <v>25.037872037592692</v>
      </c>
      <c r="X76" s="13">
        <f t="shared" si="10"/>
        <v>36.575729247562727</v>
      </c>
      <c r="Y76" s="11">
        <f>IF(GetHumRatioFromVapPres(Y$4*1000,$E$1)&lt;GetSatHumRatio($A76,$E$1)+$J$1/1000,GetHumRatioFromVapPres(Y$4*1000,$E$1)*1000)</f>
        <v>6.199302267630201</v>
      </c>
      <c r="Z76" s="11">
        <f>IF(GetHumRatioFromVapPres(Z$4*1000,$E$1)&lt;GetSatHumRatio($A76,$E$1)+$J$1/1000,GetHumRatioFromVapPres(Z$4*1000,$E$1)*1000)</f>
        <v>12.523433173923985</v>
      </c>
      <c r="AA76" s="11">
        <f>IF(GetHumRatioFromVapPres(AA$4*1000,$E$1)&lt;GetSatHumRatio($A76,$E$1)+$J$1/1000,GetHumRatioFromVapPres(AA$4*1000,$E$1)*1000)</f>
        <v>18.976201372997711</v>
      </c>
      <c r="AB76" s="11">
        <f>IF(GetHumRatioFromVapPres(AB$4*1000,$E$1)&lt;GetSatHumRatio($A76,$E$1)+$J$1/1000,GetHumRatioFromVapPres(AB$4*1000,$E$1)*1000)</f>
        <v>25.561572052401743</v>
      </c>
      <c r="AC76" s="11">
        <f>IF(GetHumRatioFromVapPres(AC$4*1000,$E$1)&lt;GetSatHumRatio($A76,$E$1)+$J$1/1000,GetHumRatioFromVapPres(AC$4*1000,$E$1)*1000)</f>
        <v>32.283675058396057</v>
      </c>
    </row>
    <row r="77" spans="1:29" x14ac:dyDescent="0.25">
      <c r="A77" s="2">
        <f t="shared" si="9"/>
        <v>35.5</v>
      </c>
      <c r="B77" s="10">
        <f>GetSatHumRatio(A77,$E$1)*1000</f>
        <v>37.661383866621151</v>
      </c>
      <c r="C77" s="11">
        <f>GetHumRatioFromRelHum(A77,$C$4,$E$1)*1000</f>
        <v>33.691230915895879</v>
      </c>
      <c r="D77" s="11">
        <f>GetHumRatioFromRelHum($A77,D$4,$E$1)*1000</f>
        <v>29.768584510618275</v>
      </c>
      <c r="E77" s="11">
        <f>GetHumRatioFromRelHum($A77,E$4,$E$1)*1000</f>
        <v>25.892597032541619</v>
      </c>
      <c r="F77" s="11">
        <f>GetHumRatioFromRelHum($A77,F$4,$E$1)*1000</f>
        <v>22.06244090862954</v>
      </c>
      <c r="G77" s="11">
        <f>GetHumRatioFromRelHum($A77,G$4,$E$1)*1000</f>
        <v>18.277308021980566</v>
      </c>
      <c r="H77" s="11">
        <f>GetHumRatioFromRelHum($A77,H$4,$E$1)*1000</f>
        <v>14.536409143405049</v>
      </c>
      <c r="I77" s="11">
        <f>GetHumRatioFromRelHum($A77,I$4,$E$1)*1000</f>
        <v>10.838973382814435</v>
      </c>
      <c r="J77" s="11">
        <f>GetHumRatioFromRelHum($A77,J$4,$E$1)*1000</f>
        <v>7.1842476596220211</v>
      </c>
      <c r="K77" s="11">
        <f>GetHumRatioFromRelHum($A77,K$4,$E$1)*1000</f>
        <v>3.571496191390934</v>
      </c>
      <c r="L77" s="11">
        <f>IF(GetHumRatioFromEnthalpyAndTDryBulb(L$4*1000,$A77)*1000&lt;=$B77+$J$1,GetHumRatioFromEnthalpyAndTDryBulb(L$4*1000,$A77)*1000)</f>
        <v>-10.01663400895198</v>
      </c>
      <c r="M77" s="11">
        <f>IF(GetHumRatioFromEnthalpyAndTDryBulb(M$4*1000,$A77)*1000&lt;=$B77+$J$1,GetHumRatioFromEnthalpyAndTDryBulb(M$4*1000,$A77)*1000)</f>
        <v>-2.225529113411219</v>
      </c>
      <c r="N77" s="11">
        <f>IF(GetHumRatioFromEnthalpyAndTDryBulb(N$4*1000,$A77)*1000&lt;=$B77+$J$1,GetHumRatioFromEnthalpyAndTDryBulb(N$4*1000,$A77)*1000)</f>
        <v>5.5655757821295424</v>
      </c>
      <c r="O77" s="11">
        <f>IF(GetHumRatioFromEnthalpyAndTDryBulb(O$4*1000,$A77)*1000&lt;=$B77+$J$1,GetHumRatioFromEnthalpyAndTDryBulb(O$4*1000,$A77)*1000)</f>
        <v>13.356680677670303</v>
      </c>
      <c r="P77" s="11">
        <f>IF(GetHumRatioFromEnthalpyAndTDryBulb(P$4*1000,$A77)*1000&lt;=$B77+$J$1,GetHumRatioFromEnthalpyAndTDryBulb(P$4*1000,$A77)*1000)</f>
        <v>21.147785573211063</v>
      </c>
      <c r="Q77" s="11">
        <f>IF(GetHumRatioFromEnthalpyAndTDryBulb(Q$4*1000,$A77)*1000&lt;=$B77+$J$1,GetHumRatioFromEnthalpyAndTDryBulb(Q$4*1000,$A77)*1000)</f>
        <v>28.938890468751829</v>
      </c>
      <c r="R77" s="13">
        <f t="shared" si="10"/>
        <v>9.9999999999999991E-5</v>
      </c>
      <c r="S77" s="13">
        <f t="shared" si="10"/>
        <v>9.9999999999999991E-5</v>
      </c>
      <c r="T77" s="13">
        <f t="shared" si="10"/>
        <v>2.2501022166448688</v>
      </c>
      <c r="U77" s="13">
        <f t="shared" si="10"/>
        <v>8.2453299722338276</v>
      </c>
      <c r="V77" s="13">
        <f t="shared" si="10"/>
        <v>15.632100125003381</v>
      </c>
      <c r="W77" s="13">
        <f t="shared" si="10"/>
        <v>24.822309473954292</v>
      </c>
      <c r="X77" s="13">
        <f t="shared" si="10"/>
        <v>36.353869718122674</v>
      </c>
      <c r="Y77" s="11">
        <f>IF(GetHumRatioFromVapPres(Y$4*1000,$E$1)&lt;GetSatHumRatio($A77,$E$1)+$J$1/1000,GetHumRatioFromVapPres(Y$4*1000,$E$1)*1000)</f>
        <v>6.199302267630201</v>
      </c>
      <c r="Z77" s="11">
        <f>IF(GetHumRatioFromVapPres(Z$4*1000,$E$1)&lt;GetSatHumRatio($A77,$E$1)+$J$1/1000,GetHumRatioFromVapPres(Z$4*1000,$E$1)*1000)</f>
        <v>12.523433173923985</v>
      </c>
      <c r="AA77" s="11">
        <f>IF(GetHumRatioFromVapPres(AA$4*1000,$E$1)&lt;GetSatHumRatio($A77,$E$1)+$J$1/1000,GetHumRatioFromVapPres(AA$4*1000,$E$1)*1000)</f>
        <v>18.976201372997711</v>
      </c>
      <c r="AB77" s="11">
        <f>IF(GetHumRatioFromVapPres(AB$4*1000,$E$1)&lt;GetSatHumRatio($A77,$E$1)+$J$1/1000,GetHumRatioFromVapPres(AB$4*1000,$E$1)*1000)</f>
        <v>25.561572052401743</v>
      </c>
      <c r="AC77" s="11">
        <f>IF(GetHumRatioFromVapPres(AC$4*1000,$E$1)&lt;GetSatHumRatio($A77,$E$1)+$J$1/1000,GetHumRatioFromVapPres(AC$4*1000,$E$1)*1000)</f>
        <v>32.283675058396057</v>
      </c>
    </row>
    <row r="78" spans="1:29" x14ac:dyDescent="0.25">
      <c r="A78" s="2">
        <f t="shared" si="9"/>
        <v>36</v>
      </c>
      <c r="B78" s="10">
        <f>GetSatHumRatio(A78,$E$1)*1000</f>
        <v>38.776974673269848</v>
      </c>
      <c r="C78" s="11">
        <f>GetHumRatioFromRelHum(A78,$C$4,$E$1)*1000</f>
        <v>34.683035705945031</v>
      </c>
      <c r="D78" s="11">
        <f>GetHumRatioFromRelHum($A78,D$4,$E$1)*1000</f>
        <v>30.639517722607788</v>
      </c>
      <c r="E78" s="11">
        <f>GetHumRatioFromRelHum($A78,E$4,$E$1)*1000</f>
        <v>26.645494946352695</v>
      </c>
      <c r="F78" s="11">
        <f>GetHumRatioFromRelHum($A78,F$4,$E$1)*1000</f>
        <v>22.700064126591126</v>
      </c>
      <c r="G78" s="11">
        <f>GetHumRatioFromRelHum($A78,G$4,$E$1)*1000</f>
        <v>18.802343858046321</v>
      </c>
      <c r="H78" s="11">
        <f>GetHumRatioFromRelHum($A78,H$4,$E$1)*1000</f>
        <v>14.951473924305551</v>
      </c>
      <c r="I78" s="11">
        <f>GetHumRatioFromRelHum($A78,I$4,$E$1)*1000</f>
        <v>11.146614664902073</v>
      </c>
      <c r="J78" s="11">
        <f>GetHumRatioFromRelHum($A78,J$4,$E$1)*1000</f>
        <v>7.3869463649490203</v>
      </c>
      <c r="K78" s="11">
        <f>GetHumRatioFromRelHum($A78,K$4,$E$1)*1000</f>
        <v>3.6716686663930966</v>
      </c>
      <c r="L78" s="11">
        <f>IF(GetHumRatioFromEnthalpyAndTDryBulb(L$4*1000,$A78)*1000&lt;=$B78+$J$1,GetHumRatioFromEnthalpyAndTDryBulb(L$4*1000,$A78)*1000)</f>
        <v>-10.208881758282839</v>
      </c>
      <c r="M78" s="11">
        <f>IF(GetHumRatioFromEnthalpyAndTDryBulb(M$4*1000,$A78)*1000&lt;=$B78+$J$1,GetHumRatioFromEnthalpyAndTDryBulb(M$4*1000,$A78)*1000)</f>
        <v>-2.4205984516892793</v>
      </c>
      <c r="N78" s="11">
        <f>IF(GetHumRatioFromEnthalpyAndTDryBulb(N$4*1000,$A78)*1000&lt;=$B78+$J$1,GetHumRatioFromEnthalpyAndTDryBulb(N$4*1000,$A78)*1000)</f>
        <v>5.3676848549042813</v>
      </c>
      <c r="O78" s="11">
        <f>IF(GetHumRatioFromEnthalpyAndTDryBulb(O$4*1000,$A78)*1000&lt;=$B78+$J$1,GetHumRatioFromEnthalpyAndTDryBulb(O$4*1000,$A78)*1000)</f>
        <v>13.155968161497842</v>
      </c>
      <c r="P78" s="11">
        <f>IF(GetHumRatioFromEnthalpyAndTDryBulb(P$4*1000,$A78)*1000&lt;=$B78+$J$1,GetHumRatioFromEnthalpyAndTDryBulb(P$4*1000,$A78)*1000)</f>
        <v>20.944251468091402</v>
      </c>
      <c r="Q78" s="11">
        <f>IF(GetHumRatioFromEnthalpyAndTDryBulb(Q$4*1000,$A78)*1000&lt;=$B78+$J$1,GetHumRatioFromEnthalpyAndTDryBulb(Q$4*1000,$A78)*1000)</f>
        <v>28.732534774684957</v>
      </c>
      <c r="R78" s="13">
        <f t="shared" si="10"/>
        <v>9.9999999999999991E-5</v>
      </c>
      <c r="S78" s="13">
        <f t="shared" si="10"/>
        <v>9.9999999999999991E-5</v>
      </c>
      <c r="T78" s="13">
        <f t="shared" si="10"/>
        <v>2.0484821289616058</v>
      </c>
      <c r="U78" s="13">
        <f t="shared" si="10"/>
        <v>8.0397668394953747</v>
      </c>
      <c r="V78" s="13">
        <f t="shared" si="10"/>
        <v>15.422001577473333</v>
      </c>
      <c r="W78" s="13">
        <f t="shared" si="10"/>
        <v>24.606911072472634</v>
      </c>
      <c r="X78" s="13">
        <f t="shared" si="10"/>
        <v>36.132180606706861</v>
      </c>
      <c r="Y78" s="11">
        <f>IF(GetHumRatioFromVapPres(Y$4*1000,$E$1)&lt;GetSatHumRatio($A78,$E$1)+$J$1/1000,GetHumRatioFromVapPres(Y$4*1000,$E$1)*1000)</f>
        <v>6.199302267630201</v>
      </c>
      <c r="Z78" s="11">
        <f>IF(GetHumRatioFromVapPres(Z$4*1000,$E$1)&lt;GetSatHumRatio($A78,$E$1)+$J$1/1000,GetHumRatioFromVapPres(Z$4*1000,$E$1)*1000)</f>
        <v>12.523433173923985</v>
      </c>
      <c r="AA78" s="11">
        <f>IF(GetHumRatioFromVapPres(AA$4*1000,$E$1)&lt;GetSatHumRatio($A78,$E$1)+$J$1/1000,GetHumRatioFromVapPres(AA$4*1000,$E$1)*1000)</f>
        <v>18.976201372997711</v>
      </c>
      <c r="AB78" s="11">
        <f>IF(GetHumRatioFromVapPres(AB$4*1000,$E$1)&lt;GetSatHumRatio($A78,$E$1)+$J$1/1000,GetHumRatioFromVapPres(AB$4*1000,$E$1)*1000)</f>
        <v>25.561572052401743</v>
      </c>
      <c r="AC78" s="11">
        <f>IF(GetHumRatioFromVapPres(AC$4*1000,$E$1)&lt;GetSatHumRatio($A78,$E$1)+$J$1/1000,GetHumRatioFromVapPres(AC$4*1000,$E$1)*1000)</f>
        <v>32.283675058396057</v>
      </c>
    </row>
    <row r="79" spans="1:29" x14ac:dyDescent="0.25">
      <c r="A79" s="2">
        <f t="shared" si="9"/>
        <v>36.5</v>
      </c>
      <c r="B79" s="10">
        <f>GetSatHumRatio(A79,$E$1)*1000</f>
        <v>39.923315983799881</v>
      </c>
      <c r="C79" s="11">
        <f>GetHumRatioFromRelHum(A79,$C$4,$E$1)*1000</f>
        <v>35.701810637376298</v>
      </c>
      <c r="D79" s="11">
        <f>GetHumRatioFromRelHum($A79,D$4,$E$1)*1000</f>
        <v>31.533814913286502</v>
      </c>
      <c r="E79" s="11">
        <f>GetHumRatioFromRelHum($A79,E$4,$E$1)*1000</f>
        <v>27.41831782835995</v>
      </c>
      <c r="F79" s="11">
        <f>GetHumRatioFromRelHum($A79,F$4,$E$1)*1000</f>
        <v>23.354333708028765</v>
      </c>
      <c r="G79" s="11">
        <f>GetHumRatioFromRelHum($A79,G$4,$E$1)*1000</f>
        <v>19.340901399294836</v>
      </c>
      <c r="H79" s="11">
        <f>GetHumRatioFromRelHum($A79,H$4,$E$1)*1000</f>
        <v>15.377083512884989</v>
      </c>
      <c r="I79" s="11">
        <f>GetHumRatioFromRelHum($A79,I$4,$E$1)*1000</f>
        <v>11.461965693339225</v>
      </c>
      <c r="J79" s="11">
        <f>GetHumRatioFromRelHum($A79,J$4,$E$1)*1000</f>
        <v>7.5946559158380449</v>
      </c>
      <c r="K79" s="11">
        <f>GetHumRatioFromRelHum($A79,K$4,$E$1)*1000</f>
        <v>3.7742838086330837</v>
      </c>
      <c r="L79" s="11">
        <f>IF(GetHumRatioFromEnthalpyAndTDryBulb(L$4*1000,$A79)*1000&lt;=$B79+$J$1,GetHumRatioFromEnthalpyAndTDryBulb(L$4*1000,$A79)*1000)</f>
        <v>-10.40099031099035</v>
      </c>
      <c r="M79" s="11">
        <f>IF(GetHumRatioFromEnthalpyAndTDryBulb(M$4*1000,$A79)*1000&lt;=$B79+$J$1,GetHumRatioFromEnthalpyAndTDryBulb(M$4*1000,$A79)*1000)</f>
        <v>-2.61552655037779</v>
      </c>
      <c r="N79" s="11">
        <f>IF(GetHumRatioFromEnthalpyAndTDryBulb(N$4*1000,$A79)*1000&lt;=$B79+$J$1,GetHumRatioFromEnthalpyAndTDryBulb(N$4*1000,$A79)*1000)</f>
        <v>5.1699372102347709</v>
      </c>
      <c r="O79" s="11">
        <f>IF(GetHumRatioFromEnthalpyAndTDryBulb(O$4*1000,$A79)*1000&lt;=$B79+$J$1,GetHumRatioFromEnthalpyAndTDryBulb(O$4*1000,$A79)*1000)</f>
        <v>12.955400970847332</v>
      </c>
      <c r="P79" s="11">
        <f>IF(GetHumRatioFromEnthalpyAndTDryBulb(P$4*1000,$A79)*1000&lt;=$B79+$J$1,GetHumRatioFromEnthalpyAndTDryBulb(P$4*1000,$A79)*1000)</f>
        <v>20.74086473145989</v>
      </c>
      <c r="Q79" s="11">
        <f>IF(GetHumRatioFromEnthalpyAndTDryBulb(Q$4*1000,$A79)*1000&lt;=$B79+$J$1,GetHumRatioFromEnthalpyAndTDryBulb(Q$4*1000,$A79)*1000)</f>
        <v>28.526328492072455</v>
      </c>
      <c r="R79" s="13">
        <f t="shared" si="10"/>
        <v>9.9999999999999991E-5</v>
      </c>
      <c r="S79" s="13">
        <f t="shared" si="10"/>
        <v>9.9999999999999991E-5</v>
      </c>
      <c r="T79" s="13">
        <f t="shared" si="10"/>
        <v>1.847011681501435</v>
      </c>
      <c r="U79" s="13">
        <f t="shared" si="10"/>
        <v>7.8343575583754799</v>
      </c>
      <c r="V79" s="13">
        <f t="shared" si="10"/>
        <v>15.212061611614875</v>
      </c>
      <c r="W79" s="13">
        <f t="shared" si="10"/>
        <v>24.391676645691998</v>
      </c>
      <c r="X79" s="13">
        <f t="shared" si="10"/>
        <v>35.910661717034614</v>
      </c>
      <c r="Y79" s="11">
        <f>IF(GetHumRatioFromVapPres(Y$4*1000,$E$1)&lt;GetSatHumRatio($A79,$E$1)+$J$1/1000,GetHumRatioFromVapPres(Y$4*1000,$E$1)*1000)</f>
        <v>6.199302267630201</v>
      </c>
      <c r="Z79" s="11">
        <f>IF(GetHumRatioFromVapPres(Z$4*1000,$E$1)&lt;GetSatHumRatio($A79,$E$1)+$J$1/1000,GetHumRatioFromVapPres(Z$4*1000,$E$1)*1000)</f>
        <v>12.523433173923985</v>
      </c>
      <c r="AA79" s="11">
        <f>IF(GetHumRatioFromVapPres(AA$4*1000,$E$1)&lt;GetSatHumRatio($A79,$E$1)+$J$1/1000,GetHumRatioFromVapPres(AA$4*1000,$E$1)*1000)</f>
        <v>18.976201372997711</v>
      </c>
      <c r="AB79" s="11">
        <f>IF(GetHumRatioFromVapPres(AB$4*1000,$E$1)&lt;GetSatHumRatio($A79,$E$1)+$J$1/1000,GetHumRatioFromVapPres(AB$4*1000,$E$1)*1000)</f>
        <v>25.561572052401743</v>
      </c>
      <c r="AC79" s="11">
        <f>IF(GetHumRatioFromVapPres(AC$4*1000,$E$1)&lt;GetSatHumRatio($A79,$E$1)+$J$1/1000,GetHumRatioFromVapPres(AC$4*1000,$E$1)*1000)</f>
        <v>32.283675058396057</v>
      </c>
    </row>
    <row r="80" spans="1:29" x14ac:dyDescent="0.25">
      <c r="A80" s="2">
        <f t="shared" si="9"/>
        <v>37</v>
      </c>
      <c r="B80" s="10">
        <f>GetSatHumRatio(A80,$E$1)*1000</f>
        <v>41.101246960939875</v>
      </c>
      <c r="C80" s="11">
        <f>GetHumRatioFromRelHum(A80,$C$4,$E$1)*1000</f>
        <v>36.748271245567388</v>
      </c>
      <c r="D80" s="11">
        <f>GetHumRatioFromRelHum($A80,D$4,$E$1)*1000</f>
        <v>32.452078328061042</v>
      </c>
      <c r="E80" s="11">
        <f>GetHumRatioFromRelHum($A80,E$4,$E$1)*1000</f>
        <v>28.211564345385817</v>
      </c>
      <c r="F80" s="11">
        <f>GetHumRatioFromRelHum($A80,F$4,$E$1)*1000</f>
        <v>24.025653862563001</v>
      </c>
      <c r="G80" s="11">
        <f>GetHumRatioFromRelHum($A80,G$4,$E$1)*1000</f>
        <v>19.893298963381024</v>
      </c>
      <c r="H80" s="11">
        <f>GetHumRatioFromRelHum($A80,H$4,$E$1)*1000</f>
        <v>15.813478375785506</v>
      </c>
      <c r="I80" s="11">
        <f>GetHumRatioFromRelHum($A80,I$4,$E$1)*1000</f>
        <v>11.785196630415188</v>
      </c>
      <c r="J80" s="11">
        <f>GetHumRatioFromRelHum($A80,J$4,$E$1)*1000</f>
        <v>7.8074832508273646</v>
      </c>
      <c r="K80" s="11">
        <f>GetHumRatioFromRelHum($A80,K$4,$E$1)*1000</f>
        <v>3.8793919740292133</v>
      </c>
      <c r="L80" s="11">
        <f>IF(GetHumRatioFromEnthalpyAndTDryBulb(L$4*1000,$A80)*1000&lt;=$B80+$J$1,GetHumRatioFromEnthalpyAndTDryBulb(L$4*1000,$A80)*1000)</f>
        <v>-10.592959818197384</v>
      </c>
      <c r="M80" s="11">
        <f>IF(GetHumRatioFromEnthalpyAndTDryBulb(M$4*1000,$A80)*1000&lt;=$B80+$J$1,GetHumRatioFromEnthalpyAndTDryBulb(M$4*1000,$A80)*1000)</f>
        <v>-2.8103135628176297</v>
      </c>
      <c r="N80" s="11">
        <f>IF(GetHumRatioFromEnthalpyAndTDryBulb(N$4*1000,$A80)*1000&lt;=$B80+$J$1,GetHumRatioFromEnthalpyAndTDryBulb(N$4*1000,$A80)*1000)</f>
        <v>4.9723326925621238</v>
      </c>
      <c r="O80" s="11">
        <f>IF(GetHumRatioFromEnthalpyAndTDryBulb(O$4*1000,$A80)*1000&lt;=$B80+$J$1,GetHumRatioFromEnthalpyAndTDryBulb(O$4*1000,$A80)*1000)</f>
        <v>12.754978947941877</v>
      </c>
      <c r="P80" s="11">
        <f>IF(GetHumRatioFromEnthalpyAndTDryBulb(P$4*1000,$A80)*1000&lt;=$B80+$J$1,GetHumRatioFromEnthalpyAndTDryBulb(P$4*1000,$A80)*1000)</f>
        <v>20.537625203321632</v>
      </c>
      <c r="Q80" s="11">
        <f>IF(GetHumRatioFromEnthalpyAndTDryBulb(Q$4*1000,$A80)*1000&lt;=$B80+$J$1,GetHumRatioFromEnthalpyAndTDryBulb(Q$4*1000,$A80)*1000)</f>
        <v>28.320271458701384</v>
      </c>
      <c r="R80" s="13">
        <f t="shared" si="10"/>
        <v>9.9999999999999991E-5</v>
      </c>
      <c r="S80" s="13">
        <f t="shared" si="10"/>
        <v>9.9999999999999991E-5</v>
      </c>
      <c r="T80" s="13">
        <f t="shared" si="10"/>
        <v>1.6456907077341498</v>
      </c>
      <c r="U80" s="13">
        <f t="shared" si="10"/>
        <v>7.629101956215754</v>
      </c>
      <c r="V80" s="13">
        <f t="shared" si="10"/>
        <v>15.002280047950379</v>
      </c>
      <c r="W80" s="13">
        <f t="shared" si="10"/>
        <v>24.176606006441965</v>
      </c>
      <c r="X80" s="13">
        <f t="shared" si="10"/>
        <v>35.68931285312663</v>
      </c>
      <c r="Y80" s="11">
        <f>IF(GetHumRatioFromVapPres(Y$4*1000,$E$1)&lt;GetSatHumRatio($A80,$E$1)+$J$1/1000,GetHumRatioFromVapPres(Y$4*1000,$E$1)*1000)</f>
        <v>6.199302267630201</v>
      </c>
      <c r="Z80" s="11">
        <f>IF(GetHumRatioFromVapPres(Z$4*1000,$E$1)&lt;GetSatHumRatio($A80,$E$1)+$J$1/1000,GetHumRatioFromVapPres(Z$4*1000,$E$1)*1000)</f>
        <v>12.523433173923985</v>
      </c>
      <c r="AA80" s="11">
        <f>IF(GetHumRatioFromVapPres(AA$4*1000,$E$1)&lt;GetSatHumRatio($A80,$E$1)+$J$1/1000,GetHumRatioFromVapPres(AA$4*1000,$E$1)*1000)</f>
        <v>18.976201372997711</v>
      </c>
      <c r="AB80" s="11">
        <f>IF(GetHumRatioFromVapPres(AB$4*1000,$E$1)&lt;GetSatHumRatio($A80,$E$1)+$J$1/1000,GetHumRatioFromVapPres(AB$4*1000,$E$1)*1000)</f>
        <v>25.561572052401743</v>
      </c>
      <c r="AC80" s="11">
        <f>IF(GetHumRatioFromVapPres(AC$4*1000,$E$1)&lt;GetSatHumRatio($A80,$E$1)+$J$1/1000,GetHumRatioFromVapPres(AC$4*1000,$E$1)*1000)</f>
        <v>32.283675058396057</v>
      </c>
    </row>
    <row r="81" spans="1:29" x14ac:dyDescent="0.25">
      <c r="A81" s="2">
        <f t="shared" ref="A81:A94" si="11">A80+0.5</f>
        <v>37.5</v>
      </c>
      <c r="B81" s="10">
        <f>GetSatHumRatio(A81,$E$1)*1000</f>
        <v>42.311632577645497</v>
      </c>
      <c r="C81" s="11">
        <f>GetHumRatioFromRelHum(A81,$C$4,$E$1)*1000</f>
        <v>37.823154059289685</v>
      </c>
      <c r="D81" s="11">
        <f>GetHumRatioFromRelHum($A81,D$4,$E$1)*1000</f>
        <v>33.394927015151673</v>
      </c>
      <c r="E81" s="11">
        <f>GetHumRatioFromRelHum($A81,E$4,$E$1)*1000</f>
        <v>29.025746347393664</v>
      </c>
      <c r="F81" s="11">
        <f>GetHumRatioFromRelHum($A81,F$4,$E$1)*1000</f>
        <v>24.714438883098193</v>
      </c>
      <c r="G81" s="11">
        <f>GetHumRatioFromRelHum($A81,G$4,$E$1)*1000</f>
        <v>20.459862324047482</v>
      </c>
      <c r="H81" s="11">
        <f>GetHumRatioFromRelHum($A81,H$4,$E$1)*1000</f>
        <v>16.260904237690209</v>
      </c>
      <c r="I81" s="11">
        <f>GetHumRatioFromRelHum($A81,I$4,$E$1)*1000</f>
        <v>12.116481087423457</v>
      </c>
      <c r="J81" s="11">
        <f>GetHumRatioFromRelHum($A81,J$4,$E$1)*1000</f>
        <v>8.025537300414177</v>
      </c>
      <c r="K81" s="11">
        <f>GetHumRatioFromRelHum($A81,K$4,$E$1)*1000</f>
        <v>3.9870443712756085</v>
      </c>
      <c r="L81" s="11">
        <f>IF(GetHumRatioFromEnthalpyAndTDryBulb(L$4*1000,$A81)*1000&lt;=$B81+$J$1,GetHumRatioFromEnthalpyAndTDryBulb(L$4*1000,$A81)*1000)</f>
        <v>-10.784790430808131</v>
      </c>
      <c r="M81" s="11">
        <f>IF(GetHumRatioFromEnthalpyAndTDryBulb(M$4*1000,$A81)*1000&lt;=$B81+$J$1,GetHumRatioFromEnthalpyAndTDryBulb(M$4*1000,$A81)*1000)</f>
        <v>-3.0049596421277842</v>
      </c>
      <c r="N81" s="11">
        <f>IF(GetHumRatioFromEnthalpyAndTDryBulb(N$4*1000,$A81)*1000&lt;=$B81+$J$1,GetHumRatioFromEnthalpyAndTDryBulb(N$4*1000,$A81)*1000)</f>
        <v>4.7748711465525613</v>
      </c>
      <c r="O81" s="11">
        <f>IF(GetHumRatioFromEnthalpyAndTDryBulb(O$4*1000,$A81)*1000&lt;=$B81+$J$1,GetHumRatioFromEnthalpyAndTDryBulb(O$4*1000,$A81)*1000)</f>
        <v>12.554701935232908</v>
      </c>
      <c r="P81" s="11">
        <f>IF(GetHumRatioFromEnthalpyAndTDryBulb(P$4*1000,$A81)*1000&lt;=$B81+$J$1,GetHumRatioFromEnthalpyAndTDryBulb(P$4*1000,$A81)*1000)</f>
        <v>20.334532723913256</v>
      </c>
      <c r="Q81" s="11">
        <f>IF(GetHumRatioFromEnthalpyAndTDryBulb(Q$4*1000,$A81)*1000&lt;=$B81+$J$1,GetHumRatioFromEnthalpyAndTDryBulb(Q$4*1000,$A81)*1000)</f>
        <v>28.114363512593602</v>
      </c>
      <c r="R81" s="13">
        <f t="shared" si="10"/>
        <v>9.9999999999999991E-5</v>
      </c>
      <c r="S81" s="13">
        <f t="shared" si="10"/>
        <v>9.9999999999999991E-5</v>
      </c>
      <c r="T81" s="13">
        <f t="shared" si="10"/>
        <v>1.4445190413765554</v>
      </c>
      <c r="U81" s="13">
        <f t="shared" si="10"/>
        <v>7.4239998606160711</v>
      </c>
      <c r="V81" s="13">
        <f t="shared" si="10"/>
        <v>14.792656707272956</v>
      </c>
      <c r="W81" s="13">
        <f t="shared" si="10"/>
        <v>23.961698967836885</v>
      </c>
      <c r="X81" s="13">
        <f t="shared" si="10"/>
        <v>35.468133819304327</v>
      </c>
      <c r="Y81" s="11">
        <f>IF(GetHumRatioFromVapPres(Y$4*1000,$E$1)&lt;GetSatHumRatio($A81,$E$1)+$J$1/1000,GetHumRatioFromVapPres(Y$4*1000,$E$1)*1000)</f>
        <v>6.199302267630201</v>
      </c>
      <c r="Z81" s="11">
        <f>IF(GetHumRatioFromVapPres(Z$4*1000,$E$1)&lt;GetSatHumRatio($A81,$E$1)+$J$1/1000,GetHumRatioFromVapPres(Z$4*1000,$E$1)*1000)</f>
        <v>12.523433173923985</v>
      </c>
      <c r="AA81" s="11">
        <f>IF(GetHumRatioFromVapPres(AA$4*1000,$E$1)&lt;GetSatHumRatio($A81,$E$1)+$J$1/1000,GetHumRatioFromVapPres(AA$4*1000,$E$1)*1000)</f>
        <v>18.976201372997711</v>
      </c>
      <c r="AB81" s="11">
        <f>IF(GetHumRatioFromVapPres(AB$4*1000,$E$1)&lt;GetSatHumRatio($A81,$E$1)+$J$1/1000,GetHumRatioFromVapPres(AB$4*1000,$E$1)*1000)</f>
        <v>25.561572052401743</v>
      </c>
      <c r="AC81" s="11">
        <f>IF(GetHumRatioFromVapPres(AC$4*1000,$E$1)&lt;GetSatHumRatio($A81,$E$1)+$J$1/1000,GetHumRatioFromVapPres(AC$4*1000,$E$1)*1000)</f>
        <v>32.283675058396057</v>
      </c>
    </row>
    <row r="82" spans="1:29" x14ac:dyDescent="0.25">
      <c r="A82" s="2">
        <f t="shared" si="11"/>
        <v>38</v>
      </c>
      <c r="B82" s="10">
        <f>GetSatHumRatio(A82,$E$1)*1000</f>
        <v>43.555364627976736</v>
      </c>
      <c r="C82" s="11">
        <f>GetHumRatioFromRelHum(A82,$C$4,$E$1)*1000</f>
        <v>38.927217380150644</v>
      </c>
      <c r="D82" s="11">
        <f>GetHumRatioFromRelHum($A82,D$4,$E$1)*1000</f>
        <v>34.362997413638418</v>
      </c>
      <c r="E82" s="11">
        <f>GetHumRatioFromRelHum($A82,E$4,$E$1)*1000</f>
        <v>29.861389299238688</v>
      </c>
      <c r="F82" s="11">
        <f>GetHumRatioFromRelHum($A82,F$4,$E$1)*1000</f>
        <v>25.421113451943143</v>
      </c>
      <c r="G82" s="11">
        <f>GetHumRatioFromRelHum($A82,G$4,$E$1)*1000</f>
        <v>21.040924918297179</v>
      </c>
      <c r="H82" s="11">
        <f>GetHumRatioFromRelHum($A82,H$4,$E$1)*1000</f>
        <v>16.719612212659239</v>
      </c>
      <c r="I82" s="11">
        <f>GetHumRatioFromRelHum($A82,I$4,$E$1)*1000</f>
        <v>12.455996200073745</v>
      </c>
      <c r="J82" s="11">
        <f>GetHumRatioFromRelHum($A82,J$4,$E$1)*1000</f>
        <v>8.2489290235938153</v>
      </c>
      <c r="K82" s="11">
        <f>GetHumRatioFromRelHum($A82,K$4,$E$1)*1000</f>
        <v>4.0972930740039182</v>
      </c>
      <c r="L82" s="11">
        <f>IF(GetHumRatioFromEnthalpyAndTDryBulb(L$4*1000,$A82)*1000&lt;=$B82+$J$1,GetHumRatioFromEnthalpyAndTDryBulb(L$4*1000,$A82)*1000)</f>
        <v>-10.976482299508493</v>
      </c>
      <c r="M82" s="11">
        <f>IF(GetHumRatioFromEnthalpyAndTDryBulb(M$4*1000,$A82)*1000&lt;=$B82+$J$1,GetHumRatioFromEnthalpyAndTDryBulb(M$4*1000,$A82)*1000)</f>
        <v>-3.1994649412057496</v>
      </c>
      <c r="N82" s="11">
        <f>IF(GetHumRatioFromEnthalpyAndTDryBulb(N$4*1000,$A82)*1000&lt;=$B82+$J$1,GetHumRatioFromEnthalpyAndTDryBulb(N$4*1000,$A82)*1000)</f>
        <v>4.5775524170969941</v>
      </c>
      <c r="O82" s="11">
        <f>IF(GetHumRatioFromEnthalpyAndTDryBulb(O$4*1000,$A82)*1000&lt;=$B82+$J$1,GetHumRatioFromEnthalpyAndTDryBulb(O$4*1000,$A82)*1000)</f>
        <v>12.354569775399739</v>
      </c>
      <c r="P82" s="11">
        <f>IF(GetHumRatioFromEnthalpyAndTDryBulb(P$4*1000,$A82)*1000&lt;=$B82+$J$1,GetHumRatioFromEnthalpyAndTDryBulb(P$4*1000,$A82)*1000)</f>
        <v>20.131587133702482</v>
      </c>
      <c r="Q82" s="11">
        <f>IF(GetHumRatioFromEnthalpyAndTDryBulb(Q$4*1000,$A82)*1000&lt;=$B82+$J$1,GetHumRatioFromEnthalpyAndTDryBulb(Q$4*1000,$A82)*1000)</f>
        <v>27.908604492005225</v>
      </c>
      <c r="R82" s="13">
        <f t="shared" si="10"/>
        <v>9.9999999999999991E-5</v>
      </c>
      <c r="S82" s="13">
        <f t="shared" si="10"/>
        <v>9.9999999999999991E-5</v>
      </c>
      <c r="T82" s="13">
        <f t="shared" si="10"/>
        <v>1.2434965163920084</v>
      </c>
      <c r="U82" s="13">
        <f t="shared" si="10"/>
        <v>7.2190510994340702</v>
      </c>
      <c r="V82" s="13">
        <f t="shared" si="10"/>
        <v>14.583191410645933</v>
      </c>
      <c r="W82" s="13">
        <f t="shared" si="10"/>
        <v>23.7469553432753</v>
      </c>
      <c r="X82" s="13">
        <f t="shared" si="10"/>
        <v>35.24712442018923</v>
      </c>
      <c r="Y82" s="11">
        <f>IF(GetHumRatioFromVapPres(Y$4*1000,$E$1)&lt;GetSatHumRatio($A82,$E$1)+$J$1/1000,GetHumRatioFromVapPres(Y$4*1000,$E$1)*1000)</f>
        <v>6.199302267630201</v>
      </c>
      <c r="Z82" s="11">
        <f>IF(GetHumRatioFromVapPres(Z$4*1000,$E$1)&lt;GetSatHumRatio($A82,$E$1)+$J$1/1000,GetHumRatioFromVapPres(Z$4*1000,$E$1)*1000)</f>
        <v>12.523433173923985</v>
      </c>
      <c r="AA82" s="11">
        <f>IF(GetHumRatioFromVapPres(AA$4*1000,$E$1)&lt;GetSatHumRatio($A82,$E$1)+$J$1/1000,GetHumRatioFromVapPres(AA$4*1000,$E$1)*1000)</f>
        <v>18.976201372997711</v>
      </c>
      <c r="AB82" s="11">
        <f>IF(GetHumRatioFromVapPres(AB$4*1000,$E$1)&lt;GetSatHumRatio($A82,$E$1)+$J$1/1000,GetHumRatioFromVapPres(AB$4*1000,$E$1)*1000)</f>
        <v>25.561572052401743</v>
      </c>
      <c r="AC82" s="11">
        <f>IF(GetHumRatioFromVapPres(AC$4*1000,$E$1)&lt;GetSatHumRatio($A82,$E$1)+$J$1/1000,GetHumRatioFromVapPres(AC$4*1000,$E$1)*1000)</f>
        <v>32.283675058396057</v>
      </c>
    </row>
    <row r="83" spans="1:29" x14ac:dyDescent="0.25">
      <c r="A83" s="2">
        <f t="shared" si="11"/>
        <v>38.5</v>
      </c>
      <c r="B83" s="10">
        <f>GetSatHumRatio(A83,$E$1)*1000</f>
        <v>44.83336278776116</v>
      </c>
      <c r="C83" s="11">
        <f>GetHumRatioFromRelHum(A83,$C$4,$E$1)*1000</f>
        <v>40.061242098669346</v>
      </c>
      <c r="D83" s="11">
        <f>GetHumRatioFromRelHum($A83,D$4,$E$1)*1000</f>
        <v>35.356943967766611</v>
      </c>
      <c r="E83" s="11">
        <f>GetHumRatioFromRelHum($A83,E$4,$E$1)*1000</f>
        <v>30.719032730632787</v>
      </c>
      <c r="F83" s="11">
        <f>GetHumRatioFromRelHum($A83,F$4,$E$1)*1000</f>
        <v>26.146112959035882</v>
      </c>
      <c r="G83" s="11">
        <f>GetHumRatioFromRelHum($A83,G$4,$E$1)*1000</f>
        <v>21.636828061156439</v>
      </c>
      <c r="H83" s="11">
        <f>GetHumRatioFromRelHum($A83,H$4,$E$1)*1000</f>
        <v>17.189858939844139</v>
      </c>
      <c r="I83" s="11">
        <f>GetHumRatioFromRelHum($A83,I$4,$E$1)*1000</f>
        <v>12.803922706119202</v>
      </c>
      <c r="J83" s="11">
        <f>GetHumRatioFromRelHum($A83,J$4,$E$1)*1000</f>
        <v>8.4777714452827144</v>
      </c>
      <c r="K83" s="11">
        <f>GetHumRatioFromRelHum($A83,K$4,$E$1)*1000</f>
        <v>4.2101910331431167</v>
      </c>
      <c r="L83" s="11">
        <f>IF(GetHumRatioFromEnthalpyAndTDryBulb(L$4*1000,$A83)*1000&lt;=$B83+$J$1,GetHumRatioFromEnthalpyAndTDryBulb(L$4*1000,$A83)*1000)</f>
        <v>-11.168035574766483</v>
      </c>
      <c r="M83" s="11">
        <f>IF(GetHumRatioFromEnthalpyAndTDryBulb(M$4*1000,$A83)*1000&lt;=$B83+$J$1,GetHumRatioFromEnthalpyAndTDryBulb(M$4*1000,$A83)*1000)</f>
        <v>-3.3938296127279304</v>
      </c>
      <c r="N83" s="11">
        <f>IF(GetHumRatioFromEnthalpyAndTDryBulb(N$4*1000,$A83)*1000&lt;=$B83+$J$1,GetHumRatioFromEnthalpyAndTDryBulb(N$4*1000,$A83)*1000)</f>
        <v>4.3803763493106214</v>
      </c>
      <c r="O83" s="11">
        <f>IF(GetHumRatioFromEnthalpyAndTDryBulb(O$4*1000,$A83)*1000&lt;=$B83+$J$1,GetHumRatioFromEnthalpyAndTDryBulb(O$4*1000,$A83)*1000)</f>
        <v>12.154582311349174</v>
      </c>
      <c r="P83" s="11">
        <f>IF(GetHumRatioFromEnthalpyAndTDryBulb(P$4*1000,$A83)*1000&lt;=$B83+$J$1,GetHumRatioFromEnthalpyAndTDryBulb(P$4*1000,$A83)*1000)</f>
        <v>19.928788273387724</v>
      </c>
      <c r="Q83" s="11">
        <f>IF(GetHumRatioFromEnthalpyAndTDryBulb(Q$4*1000,$A83)*1000&lt;=$B83+$J$1,GetHumRatioFromEnthalpyAndTDryBulb(Q$4*1000,$A83)*1000)</f>
        <v>27.702994235426281</v>
      </c>
      <c r="R83" s="13">
        <f t="shared" si="10"/>
        <v>9.9999999999999991E-5</v>
      </c>
      <c r="S83" s="13">
        <f t="shared" si="10"/>
        <v>9.9999999999999991E-5</v>
      </c>
      <c r="T83" s="13">
        <f t="shared" si="10"/>
        <v>1.0426229669899616</v>
      </c>
      <c r="U83" s="13">
        <f t="shared" si="10"/>
        <v>7.0142555007846816</v>
      </c>
      <c r="V83" s="13">
        <f t="shared" si="10"/>
        <v>14.373883979402352</v>
      </c>
      <c r="W83" s="13">
        <f t="shared" si="10"/>
        <v>23.532374946439443</v>
      </c>
      <c r="X83" s="13">
        <f t="shared" si="10"/>
        <v>35.026284460702485</v>
      </c>
      <c r="Y83" s="11">
        <f>IF(GetHumRatioFromVapPres(Y$4*1000,$E$1)&lt;GetSatHumRatio($A83,$E$1)+$J$1/1000,GetHumRatioFromVapPres(Y$4*1000,$E$1)*1000)</f>
        <v>6.199302267630201</v>
      </c>
      <c r="Z83" s="11">
        <f>IF(GetHumRatioFromVapPres(Z$4*1000,$E$1)&lt;GetSatHumRatio($A83,$E$1)+$J$1/1000,GetHumRatioFromVapPres(Z$4*1000,$E$1)*1000)</f>
        <v>12.523433173923985</v>
      </c>
      <c r="AA83" s="11">
        <f>IF(GetHumRatioFromVapPres(AA$4*1000,$E$1)&lt;GetSatHumRatio($A83,$E$1)+$J$1/1000,GetHumRatioFromVapPres(AA$4*1000,$E$1)*1000)</f>
        <v>18.976201372997711</v>
      </c>
      <c r="AB83" s="11">
        <f>IF(GetHumRatioFromVapPres(AB$4*1000,$E$1)&lt;GetSatHumRatio($A83,$E$1)+$J$1/1000,GetHumRatioFromVapPres(AB$4*1000,$E$1)*1000)</f>
        <v>25.561572052401743</v>
      </c>
      <c r="AC83" s="11">
        <f>IF(GetHumRatioFromVapPres(AC$4*1000,$E$1)&lt;GetSatHumRatio($A83,$E$1)+$J$1/1000,GetHumRatioFromVapPres(AC$4*1000,$E$1)*1000)</f>
        <v>32.283675058396057</v>
      </c>
    </row>
    <row r="84" spans="1:29" x14ac:dyDescent="0.25">
      <c r="A84" s="2">
        <f t="shared" si="11"/>
        <v>39</v>
      </c>
      <c r="B84" s="10">
        <f>GetSatHumRatio(A84,$E$1)*1000</f>
        <v>46.146575727923157</v>
      </c>
      <c r="C84" s="11">
        <f>GetHumRatioFromRelHum(A84,$C$4,$E$1)*1000</f>
        <v>41.226032549010561</v>
      </c>
      <c r="D84" s="11">
        <f>GetHumRatioFromRelHum($A84,D$4,$E$1)*1000</f>
        <v>36.377439768895755</v>
      </c>
      <c r="E84" s="11">
        <f>GetHumRatioFromRelHum($A84,E$4,$E$1)*1000</f>
        <v>31.599230705234785</v>
      </c>
      <c r="F84" s="11">
        <f>GetHumRatioFromRelHum($A84,F$4,$E$1)*1000</f>
        <v>26.889883832845221</v>
      </c>
      <c r="G84" s="11">
        <f>GetHumRatioFromRelHum($A84,G$4,$E$1)*1000</f>
        <v>22.247921168365625</v>
      </c>
      <c r="H84" s="11">
        <f>GetHumRatioFromRelHum($A84,H$4,$E$1)*1000</f>
        <v>17.671906723762284</v>
      </c>
      <c r="I84" s="11">
        <f>GetHumRatioFromRelHum($A84,I$4,$E$1)*1000</f>
        <v>13.16044502528398</v>
      </c>
      <c r="J84" s="11">
        <f>GetHumRatioFromRelHum($A84,J$4,$E$1)*1000</f>
        <v>8.7121796946560526</v>
      </c>
      <c r="K84" s="11">
        <f>GetHumRatioFromRelHum($A84,K$4,$E$1)*1000</f>
        <v>4.3257920894834401</v>
      </c>
      <c r="L84" s="11">
        <f>IF(GetHumRatioFromEnthalpyAndTDryBulb(L$4*1000,$A84)*1000&lt;=$B84+$J$1,GetHumRatioFromEnthalpyAndTDryBulb(L$4*1000,$A84)*1000)</f>
        <v>-11.359450406832613</v>
      </c>
      <c r="M84" s="11">
        <f>IF(GetHumRatioFromEnthalpyAndTDryBulb(M$4*1000,$A84)*1000&lt;=$B84+$J$1,GetHumRatioFromEnthalpyAndTDryBulb(M$4*1000,$A84)*1000)</f>
        <v>-3.5880538091500429</v>
      </c>
      <c r="N84" s="11">
        <f>IF(GetHumRatioFromEnthalpyAndTDryBulb(N$4*1000,$A84)*1000&lt;=$B84+$J$1,GetHumRatioFromEnthalpyAndTDryBulb(N$4*1000,$A84)*1000)</f>
        <v>4.1833427885325261</v>
      </c>
      <c r="O84" s="11">
        <f>IF(GetHumRatioFromEnthalpyAndTDryBulb(O$4*1000,$A84)*1000&lt;=$B84+$J$1,GetHumRatioFromEnthalpyAndTDryBulb(O$4*1000,$A84)*1000)</f>
        <v>11.954739386215097</v>
      </c>
      <c r="P84" s="11">
        <f>IF(GetHumRatioFromEnthalpyAndTDryBulb(P$4*1000,$A84)*1000&lt;=$B84+$J$1,GetHumRatioFromEnthalpyAndTDryBulb(P$4*1000,$A84)*1000)</f>
        <v>19.726135983897667</v>
      </c>
      <c r="Q84" s="11">
        <f>IF(GetHumRatioFromEnthalpyAndTDryBulb(Q$4*1000,$A84)*1000&lt;=$B84+$J$1,GetHumRatioFromEnthalpyAndTDryBulb(Q$4*1000,$A84)*1000)</f>
        <v>27.497532581580234</v>
      </c>
      <c r="R84" s="13">
        <f t="shared" si="10"/>
        <v>9.9999999999999991E-5</v>
      </c>
      <c r="S84" s="13">
        <f t="shared" si="10"/>
        <v>9.9999999999999991E-5</v>
      </c>
      <c r="T84" s="13">
        <f t="shared" si="10"/>
        <v>0.84189822762550992</v>
      </c>
      <c r="U84" s="13">
        <f t="shared" si="10"/>
        <v>6.8096128930396533</v>
      </c>
      <c r="V84" s="13">
        <f t="shared" si="10"/>
        <v>14.164734235144472</v>
      </c>
      <c r="W84" s="13">
        <f t="shared" si="10"/>
        <v>23.317957591294672</v>
      </c>
      <c r="X84" s="13">
        <f t="shared" si="10"/>
        <v>34.805613746064253</v>
      </c>
      <c r="Y84" s="11">
        <f>IF(GetHumRatioFromVapPres(Y$4*1000,$E$1)&lt;GetSatHumRatio($A84,$E$1)+$J$1/1000,GetHumRatioFromVapPres(Y$4*1000,$E$1)*1000)</f>
        <v>6.199302267630201</v>
      </c>
      <c r="Z84" s="11">
        <f>IF(GetHumRatioFromVapPres(Z$4*1000,$E$1)&lt;GetSatHumRatio($A84,$E$1)+$J$1/1000,GetHumRatioFromVapPres(Z$4*1000,$E$1)*1000)</f>
        <v>12.523433173923985</v>
      </c>
      <c r="AA84" s="11">
        <f>IF(GetHumRatioFromVapPres(AA$4*1000,$E$1)&lt;GetSatHumRatio($A84,$E$1)+$J$1/1000,GetHumRatioFromVapPres(AA$4*1000,$E$1)*1000)</f>
        <v>18.976201372997711</v>
      </c>
      <c r="AB84" s="11">
        <f>IF(GetHumRatioFromVapPres(AB$4*1000,$E$1)&lt;GetSatHumRatio($A84,$E$1)+$J$1/1000,GetHumRatioFromVapPres(AB$4*1000,$E$1)*1000)</f>
        <v>25.561572052401743</v>
      </c>
      <c r="AC84" s="11">
        <f>IF(GetHumRatioFromVapPres(AC$4*1000,$E$1)&lt;GetSatHumRatio($A84,$E$1)+$J$1/1000,GetHumRatioFromVapPres(AC$4*1000,$E$1)*1000)</f>
        <v>32.283675058396057</v>
      </c>
    </row>
    <row r="85" spans="1:29" x14ac:dyDescent="0.25">
      <c r="A85" s="2">
        <f t="shared" si="11"/>
        <v>39.5</v>
      </c>
      <c r="B85" s="10">
        <f>GetSatHumRatio(A85,$E$1)*1000</f>
        <v>47.495982283536762</v>
      </c>
      <c r="C85" s="11">
        <f>GetHumRatioFromRelHum(A85,$C$4,$E$1)*1000</f>
        <v>42.422417404519479</v>
      </c>
      <c r="D85" s="11">
        <f>GetHumRatioFromRelHum($A85,D$4,$E$1)*1000</f>
        <v>37.425177226547937</v>
      </c>
      <c r="E85" s="11">
        <f>GetHumRatioFromRelHum($A85,E$4,$E$1)*1000</f>
        <v>32.502552309819862</v>
      </c>
      <c r="F85" s="11">
        <f>GetHumRatioFromRelHum($A85,F$4,$E$1)*1000</f>
        <v>27.652883884544384</v>
      </c>
      <c r="G85" s="11">
        <f>GetHumRatioFromRelHum($A85,G$4,$E$1)*1000</f>
        <v>22.874561987345849</v>
      </c>
      <c r="H85" s="11">
        <f>GetHumRatioFromRelHum($A85,H$4,$E$1)*1000</f>
        <v>18.166023679316709</v>
      </c>
      <c r="I85" s="11">
        <f>GetHumRatioFromRelHum($A85,I$4,$E$1)*1000</f>
        <v>13.525751341576129</v>
      </c>
      <c r="J85" s="11">
        <f>GetHumRatioFromRelHum($A85,J$4,$E$1)*1000</f>
        <v>8.9522710444298585</v>
      </c>
      <c r="K85" s="11">
        <f>GetHumRatioFromRelHum($A85,K$4,$E$1)*1000</f>
        <v>4.4441509864496549</v>
      </c>
      <c r="L85" s="11">
        <f>IF(GetHumRatioFromEnthalpyAndTDryBulb(L$4*1000,$A85)*1000&lt;=$B85+$J$1,GetHumRatioFromEnthalpyAndTDryBulb(L$4*1000,$A85)*1000)</f>
        <v>-11.550726945740291</v>
      </c>
      <c r="M85" s="11">
        <f>IF(GetHumRatioFromEnthalpyAndTDryBulb(M$4*1000,$A85)*1000&lt;=$B85+$J$1,GetHumRatioFromEnthalpyAndTDryBulb(M$4*1000,$A85)*1000)</f>
        <v>-3.7821376827075102</v>
      </c>
      <c r="N85" s="11">
        <f>IF(GetHumRatioFromEnthalpyAndTDryBulb(N$4*1000,$A85)*1000&lt;=$B85+$J$1,GetHumRatioFromEnthalpyAndTDryBulb(N$4*1000,$A85)*1000)</f>
        <v>3.9864515803252707</v>
      </c>
      <c r="O85" s="11">
        <f>IF(GetHumRatioFromEnthalpyAndTDryBulb(O$4*1000,$A85)*1000&lt;=$B85+$J$1,GetHumRatioFromEnthalpyAndTDryBulb(O$4*1000,$A85)*1000)</f>
        <v>11.755040843358051</v>
      </c>
      <c r="P85" s="11">
        <f>IF(GetHumRatioFromEnthalpyAndTDryBulb(P$4*1000,$A85)*1000&lt;=$B85+$J$1,GetHumRatioFromEnthalpyAndTDryBulb(P$4*1000,$A85)*1000)</f>
        <v>19.523630106390829</v>
      </c>
      <c r="Q85" s="11">
        <f>IF(GetHumRatioFromEnthalpyAndTDryBulb(Q$4*1000,$A85)*1000&lt;=$B85+$J$1,GetHumRatioFromEnthalpyAndTDryBulb(Q$4*1000,$A85)*1000)</f>
        <v>27.292219369423613</v>
      </c>
      <c r="R85" s="13">
        <f t="shared" si="10"/>
        <v>9.9999999999999991E-5</v>
      </c>
      <c r="S85" s="13">
        <f t="shared" si="10"/>
        <v>9.9999999999999991E-5</v>
      </c>
      <c r="T85" s="13">
        <f t="shared" si="10"/>
        <v>0.64132213299892871</v>
      </c>
      <c r="U85" s="13">
        <f t="shared" si="10"/>
        <v>6.6051231048270562</v>
      </c>
      <c r="V85" s="13">
        <f t="shared" si="10"/>
        <v>13.955741999743235</v>
      </c>
      <c r="W85" s="13">
        <f t="shared" si="10"/>
        <v>23.103703092088949</v>
      </c>
      <c r="X85" s="13">
        <f t="shared" si="10"/>
        <v>34.585112081793071</v>
      </c>
      <c r="Y85" s="11">
        <f>IF(GetHumRatioFromVapPres(Y$4*1000,$E$1)&lt;GetSatHumRatio($A85,$E$1)+$J$1/1000,GetHumRatioFromVapPres(Y$4*1000,$E$1)*1000)</f>
        <v>6.199302267630201</v>
      </c>
      <c r="Z85" s="11">
        <f>IF(GetHumRatioFromVapPres(Z$4*1000,$E$1)&lt;GetSatHumRatio($A85,$E$1)+$J$1/1000,GetHumRatioFromVapPres(Z$4*1000,$E$1)*1000)</f>
        <v>12.523433173923985</v>
      </c>
      <c r="AA85" s="11">
        <f>IF(GetHumRatioFromVapPres(AA$4*1000,$E$1)&lt;GetSatHumRatio($A85,$E$1)+$J$1/1000,GetHumRatioFromVapPres(AA$4*1000,$E$1)*1000)</f>
        <v>18.976201372997711</v>
      </c>
      <c r="AB85" s="11">
        <f>IF(GetHumRatioFromVapPres(AB$4*1000,$E$1)&lt;GetSatHumRatio($A85,$E$1)+$J$1/1000,GetHumRatioFromVapPres(AB$4*1000,$E$1)*1000)</f>
        <v>25.561572052401743</v>
      </c>
      <c r="AC85" s="11">
        <f>IF(GetHumRatioFromVapPres(AC$4*1000,$E$1)&lt;GetSatHumRatio($A85,$E$1)+$J$1/1000,GetHumRatioFromVapPres(AC$4*1000,$E$1)*1000)</f>
        <v>32.283675058396057</v>
      </c>
    </row>
    <row r="86" spans="1:29" x14ac:dyDescent="0.25">
      <c r="A86" s="2">
        <f t="shared" si="11"/>
        <v>40</v>
      </c>
      <c r="B86" s="10">
        <f>GetSatHumRatio(A86,$E$1)*1000</f>
        <v>48.882592681875735</v>
      </c>
      <c r="C86" s="11">
        <f>GetHumRatioFromRelHum(A86,$C$4,$E$1)*1000</f>
        <v>43.651250616345422</v>
      </c>
      <c r="D86" s="11">
        <f>GetHumRatioFromRelHum($A86,D$4,$E$1)*1000</f>
        <v>38.500868770109641</v>
      </c>
      <c r="E86" s="11">
        <f>GetHumRatioFromRelHum($A86,E$4,$E$1)*1000</f>
        <v>33.429582164545117</v>
      </c>
      <c r="F86" s="11">
        <f>GetHumRatioFromRelHum($A86,F$4,$E$1)*1000</f>
        <v>28.435582666091349</v>
      </c>
      <c r="G86" s="11">
        <f>GetHumRatioFromRelHum($A86,G$4,$E$1)*1000</f>
        <v>23.5171168368129</v>
      </c>
      <c r="H86" s="11">
        <f>GetHumRatioFromRelHum($A86,H$4,$E$1)*1000</f>
        <v>18.672483881759817</v>
      </c>
      <c r="I86" s="11">
        <f>GetHumRatioFromRelHum($A86,I$4,$E$1)*1000</f>
        <v>13.900033688078034</v>
      </c>
      <c r="J86" s="11">
        <f>GetHumRatioFromRelHum($A86,J$4,$E$1)*1000</f>
        <v>9.1981649511207113</v>
      </c>
      <c r="K86" s="11">
        <f>GetHumRatioFromRelHum($A86,K$4,$E$1)*1000</f>
        <v>4.5653233830900639</v>
      </c>
      <c r="L86" s="11">
        <f>IF(GetHumRatioFromEnthalpyAndTDryBulb(L$4*1000,$A86)*1000&lt;=$B86+$J$1,GetHumRatioFromEnthalpyAndTDryBulb(L$4*1000,$A86)*1000)</f>
        <v>-11.741865341306205</v>
      </c>
      <c r="M86" s="11">
        <f>IF(GetHumRatioFromEnthalpyAndTDryBulb(M$4*1000,$A86)*1000&lt;=$B86+$J$1,GetHumRatioFromEnthalpyAndTDryBulb(M$4*1000,$A86)*1000)</f>
        <v>-3.9760813854158581</v>
      </c>
      <c r="N86" s="11">
        <f>IF(GetHumRatioFromEnthalpyAndTDryBulb(N$4*1000,$A86)*1000&lt;=$B86+$J$1,GetHumRatioFromEnthalpyAndTDryBulb(N$4*1000,$A86)*1000)</f>
        <v>3.7897025704744887</v>
      </c>
      <c r="O86" s="11">
        <f>IF(GetHumRatioFromEnthalpyAndTDryBulb(O$4*1000,$A86)*1000&lt;=$B86+$J$1,GetHumRatioFromEnthalpyAndTDryBulb(O$4*1000,$A86)*1000)</f>
        <v>11.555486526364836</v>
      </c>
      <c r="P86" s="11">
        <f>IF(GetHumRatioFromEnthalpyAndTDryBulb(P$4*1000,$A86)*1000&lt;=$B86+$J$1,GetHumRatioFromEnthalpyAndTDryBulb(P$4*1000,$A86)*1000)</f>
        <v>19.32127048225518</v>
      </c>
      <c r="Q86" s="11">
        <f>IF(GetHumRatioFromEnthalpyAndTDryBulb(Q$4*1000,$A86)*1000&lt;=$B86+$J$1,GetHumRatioFromEnthalpyAndTDryBulb(Q$4*1000,$A86)*1000)</f>
        <v>27.087054438145525</v>
      </c>
      <c r="R86" s="13">
        <f t="shared" si="10"/>
        <v>9.9999999999999991E-5</v>
      </c>
      <c r="S86" s="13">
        <f t="shared" si="10"/>
        <v>9.9999999999999991E-5</v>
      </c>
      <c r="T86" s="13">
        <f t="shared" si="10"/>
        <v>0.440894518055229</v>
      </c>
      <c r="U86" s="13">
        <f t="shared" si="10"/>
        <v>6.400785965030817</v>
      </c>
      <c r="V86" s="13">
        <f t="shared" si="10"/>
        <v>13.746907095337786</v>
      </c>
      <c r="W86" s="13">
        <f t="shared" si="10"/>
        <v>22.889611263352293</v>
      </c>
      <c r="X86" s="13">
        <f t="shared" si="10"/>
        <v>34.364779273705395</v>
      </c>
      <c r="Y86" s="11">
        <f>IF(GetHumRatioFromVapPres(Y$4*1000,$E$1)&lt;GetSatHumRatio($A86,$E$1)+$J$1/1000,GetHumRatioFromVapPres(Y$4*1000,$E$1)*1000)</f>
        <v>6.199302267630201</v>
      </c>
      <c r="Z86" s="11">
        <f>IF(GetHumRatioFromVapPres(Z$4*1000,$E$1)&lt;GetSatHumRatio($A86,$E$1)+$J$1/1000,GetHumRatioFromVapPres(Z$4*1000,$E$1)*1000)</f>
        <v>12.523433173923985</v>
      </c>
      <c r="AA86" s="11">
        <f>IF(GetHumRatioFromVapPres(AA$4*1000,$E$1)&lt;GetSatHumRatio($A86,$E$1)+$J$1/1000,GetHumRatioFromVapPres(AA$4*1000,$E$1)*1000)</f>
        <v>18.976201372997711</v>
      </c>
      <c r="AB86" s="11">
        <f>IF(GetHumRatioFromVapPres(AB$4*1000,$E$1)&lt;GetSatHumRatio($A86,$E$1)+$J$1/1000,GetHumRatioFromVapPres(AB$4*1000,$E$1)*1000)</f>
        <v>25.561572052401743</v>
      </c>
      <c r="AC86" s="11">
        <f>IF(GetHumRatioFromVapPres(AC$4*1000,$E$1)&lt;GetSatHumRatio($A86,$E$1)+$J$1/1000,GetHumRatioFromVapPres(AC$4*1000,$E$1)*1000)</f>
        <v>32.283675058396057</v>
      </c>
    </row>
    <row r="87" spans="1:29" x14ac:dyDescent="0.25">
      <c r="A87" s="2">
        <f t="shared" si="11"/>
        <v>40.5</v>
      </c>
      <c r="B87" s="10">
        <f>GetSatHumRatio(A87,$E$1)*1000</f>
        <v>50.307449832952429</v>
      </c>
      <c r="C87" s="11">
        <f>GetHumRatioFromRelHum(A87,$C$4,$E$1)*1000</f>
        <v>44.913412397588523</v>
      </c>
      <c r="D87" s="11">
        <f>GetHumRatioFromRelHum($A87,D$4,$E$1)*1000</f>
        <v>39.605247582833634</v>
      </c>
      <c r="E87" s="11">
        <f>GetHumRatioFromRelHum($A87,E$4,$E$1)*1000</f>
        <v>34.380920955384795</v>
      </c>
      <c r="F87" s="11">
        <f>GetHumRatioFromRelHum($A87,F$4,$E$1)*1000</f>
        <v>29.238461842883126</v>
      </c>
      <c r="G87" s="11">
        <f>GetHumRatioFromRelHum($A87,G$4,$E$1)*1000</f>
        <v>24.17596085542753</v>
      </c>
      <c r="H87" s="11">
        <f>GetHumRatioFromRelHum($A87,H$4,$E$1)*1000</f>
        <v>19.191567521807876</v>
      </c>
      <c r="I87" s="11">
        <f>GetHumRatioFromRelHum($A87,I$4,$E$1)*1000</f>
        <v>14.283488034309707</v>
      </c>
      <c r="J87" s="11">
        <f>GetHumRatioFromRelHum($A87,J$4,$E$1)*1000</f>
        <v>9.449983096317105</v>
      </c>
      <c r="K87" s="11">
        <f>GetHumRatioFromRelHum($A87,K$4,$E$1)*1000</f>
        <v>4.6893658672878029</v>
      </c>
      <c r="L87" s="11">
        <f>IF(GetHumRatioFromEnthalpyAndTDryBulb(L$4*1000,$A87)*1000&lt;=$B87+$J$1,GetHumRatioFromEnthalpyAndTDryBulb(L$4*1000,$A87)*1000)</f>
        <v>-11.932865743130733</v>
      </c>
      <c r="M87" s="11">
        <f>IF(GetHumRatioFromEnthalpyAndTDryBulb(M$4*1000,$A87)*1000&lt;=$B87+$J$1,GetHumRatioFromEnthalpyAndTDryBulb(M$4*1000,$A87)*1000)</f>
        <v>-4.1698850690711211</v>
      </c>
      <c r="N87" s="11">
        <f>IF(GetHumRatioFromEnthalpyAndTDryBulb(N$4*1000,$A87)*1000&lt;=$B87+$J$1,GetHumRatioFromEnthalpyAndTDryBulb(N$4*1000,$A87)*1000)</f>
        <v>3.5930956049884908</v>
      </c>
      <c r="O87" s="11">
        <f>IF(GetHumRatioFromEnthalpyAndTDryBulb(O$4*1000,$A87)*1000&lt;=$B87+$J$1,GetHumRatioFromEnthalpyAndTDryBulb(O$4*1000,$A87)*1000)</f>
        <v>11.356076279048102</v>
      </c>
      <c r="P87" s="11">
        <f>IF(GetHumRatioFromEnthalpyAndTDryBulb(P$4*1000,$A87)*1000&lt;=$B87+$J$1,GetHumRatioFromEnthalpyAndTDryBulb(P$4*1000,$A87)*1000)</f>
        <v>19.119056953107716</v>
      </c>
      <c r="Q87" s="11">
        <f>IF(GetHumRatioFromEnthalpyAndTDryBulb(Q$4*1000,$A87)*1000&lt;=$B87+$J$1,GetHumRatioFromEnthalpyAndTDryBulb(Q$4*1000,$A87)*1000)</f>
        <v>26.882037627167328</v>
      </c>
      <c r="R87" s="13">
        <f t="shared" si="10"/>
        <v>9.9999999999999991E-5</v>
      </c>
      <c r="S87" s="13">
        <f t="shared" si="10"/>
        <v>9.9999999999999991E-5</v>
      </c>
      <c r="T87" s="13">
        <f t="shared" si="10"/>
        <v>0.24061521798369978</v>
      </c>
      <c r="U87" s="13">
        <f t="shared" si="10"/>
        <v>6.1966013027902429</v>
      </c>
      <c r="V87" s="13">
        <f t="shared" si="10"/>
        <v>13.53822934433496</v>
      </c>
      <c r="W87" s="13">
        <f t="shared" si="10"/>
        <v>22.675681919896242</v>
      </c>
      <c r="X87" s="13">
        <f t="shared" si="10"/>
        <v>34.14461512791496</v>
      </c>
      <c r="Y87" s="11">
        <f>IF(GetHumRatioFromVapPres(Y$4*1000,$E$1)&lt;GetSatHumRatio($A87,$E$1)+$J$1/1000,GetHumRatioFromVapPres(Y$4*1000,$E$1)*1000)</f>
        <v>6.199302267630201</v>
      </c>
      <c r="Z87" s="11">
        <f>IF(GetHumRatioFromVapPres(Z$4*1000,$E$1)&lt;GetSatHumRatio($A87,$E$1)+$J$1/1000,GetHumRatioFromVapPres(Z$4*1000,$E$1)*1000)</f>
        <v>12.523433173923985</v>
      </c>
      <c r="AA87" s="11">
        <f>IF(GetHumRatioFromVapPres(AA$4*1000,$E$1)&lt;GetSatHumRatio($A87,$E$1)+$J$1/1000,GetHumRatioFromVapPres(AA$4*1000,$E$1)*1000)</f>
        <v>18.976201372997711</v>
      </c>
      <c r="AB87" s="11">
        <f>IF(GetHumRatioFromVapPres(AB$4*1000,$E$1)&lt;GetSatHumRatio($A87,$E$1)+$J$1/1000,GetHumRatioFromVapPres(AB$4*1000,$E$1)*1000)</f>
        <v>25.561572052401743</v>
      </c>
      <c r="AC87" s="11">
        <f>IF(GetHumRatioFromVapPres(AC$4*1000,$E$1)&lt;GetSatHumRatio($A87,$E$1)+$J$1/1000,GetHumRatioFromVapPres(AC$4*1000,$E$1)*1000)</f>
        <v>32.283675058396057</v>
      </c>
    </row>
    <row r="88" spans="1:29" x14ac:dyDescent="0.25">
      <c r="A88" s="2">
        <f t="shared" si="11"/>
        <v>41</v>
      </c>
      <c r="B88" s="10">
        <f>GetSatHumRatio(A88,$E$1)*1000</f>
        <v>51.771630686259471</v>
      </c>
      <c r="C88" s="11">
        <f>GetHumRatioFromRelHum(A88,$C$4,$E$1)*1000</f>
        <v>46.209810255546479</v>
      </c>
      <c r="D88" s="11">
        <f>GetHumRatioFromRelHum($A88,D$4,$E$1)*1000</f>
        <v>40.739068369876776</v>
      </c>
      <c r="E88" s="11">
        <f>GetHumRatioFromRelHum($A88,E$4,$E$1)*1000</f>
        <v>35.357185989861179</v>
      </c>
      <c r="F88" s="11">
        <f>GetHumRatioFromRelHum($A88,F$4,$E$1)*1000</f>
        <v>30.062015581679528</v>
      </c>
      <c r="G88" s="11">
        <f>GetHumRatioFromRelHum($A88,G$4,$E$1)*1000</f>
        <v>24.851478259884171</v>
      </c>
      <c r="H88" s="11">
        <f>GetHumRatioFromRelHum($A88,H$4,$E$1)*1000</f>
        <v>19.72356106611759</v>
      </c>
      <c r="I88" s="11">
        <f>GetHumRatioFromRelHum($A88,I$4,$E$1)*1000</f>
        <v>14.676314376260681</v>
      </c>
      <c r="J88" s="11">
        <f>GetHumRatioFromRelHum($A88,J$4,$E$1)*1000</f>
        <v>9.7078494289953614</v>
      </c>
      <c r="K88" s="11">
        <f>GetHumRatioFromRelHum($A88,K$4,$E$1)*1000</f>
        <v>4.8163359691999075</v>
      </c>
      <c r="L88" s="11">
        <f>IF(GetHumRatioFromEnthalpyAndTDryBulb(L$4*1000,$A88)*1000&lt;=$B88+$J$1,GetHumRatioFromEnthalpyAndTDryBulb(L$4*1000,$A88)*1000)</f>
        <v>-12.123728300598311</v>
      </c>
      <c r="M88" s="11">
        <f>IF(GetHumRatioFromEnthalpyAndTDryBulb(M$4*1000,$A88)*1000&lt;=$B88+$J$1,GetHumRatioFromEnthalpyAndTDryBulb(M$4*1000,$A88)*1000)</f>
        <v>-4.3635488852502275</v>
      </c>
      <c r="N88" s="11">
        <f>IF(GetHumRatioFromEnthalpyAndTDryBulb(N$4*1000,$A88)*1000&lt;=$B88+$J$1,GetHumRatioFromEnthalpyAndTDryBulb(N$4*1000,$A88)*1000)</f>
        <v>3.396630530097855</v>
      </c>
      <c r="O88" s="11">
        <f>IF(GetHumRatioFromEnthalpyAndTDryBulb(O$4*1000,$A88)*1000&lt;=$B88+$J$1,GetHumRatioFromEnthalpyAndTDryBulb(O$4*1000,$A88)*1000)</f>
        <v>11.156809945445938</v>
      </c>
      <c r="P88" s="11">
        <f>IF(GetHumRatioFromEnthalpyAndTDryBulb(P$4*1000,$A88)*1000&lt;=$B88+$J$1,GetHumRatioFromEnthalpyAndTDryBulb(P$4*1000,$A88)*1000)</f>
        <v>18.91698936079402</v>
      </c>
      <c r="Q88" s="11">
        <f>IF(GetHumRatioFromEnthalpyAndTDryBulb(Q$4*1000,$A88)*1000&lt;=$B88+$J$1,GetHumRatioFromEnthalpyAndTDryBulb(Q$4*1000,$A88)*1000)</f>
        <v>26.6771687761421</v>
      </c>
      <c r="R88" s="13">
        <f t="shared" si="10"/>
        <v>9.9999999999999991E-5</v>
      </c>
      <c r="S88" s="13">
        <f t="shared" si="10"/>
        <v>9.9999999999999991E-5</v>
      </c>
      <c r="T88" s="13">
        <f t="shared" si="10"/>
        <v>4.0484068217456821E-2</v>
      </c>
      <c r="U88" s="13">
        <f t="shared" si="10"/>
        <v>5.9925689474995334</v>
      </c>
      <c r="V88" s="13">
        <f t="shared" si="10"/>
        <v>13.329708569408774</v>
      </c>
      <c r="W88" s="13">
        <f t="shared" si="10"/>
        <v>22.461914876813331</v>
      </c>
      <c r="X88" s="13">
        <f t="shared" si="10"/>
        <v>33.924619450832175</v>
      </c>
      <c r="Y88" s="11">
        <f>IF(GetHumRatioFromVapPres(Y$4*1000,$E$1)&lt;GetSatHumRatio($A88,$E$1)+$J$1/1000,GetHumRatioFromVapPres(Y$4*1000,$E$1)*1000)</f>
        <v>6.199302267630201</v>
      </c>
      <c r="Z88" s="11">
        <f>IF(GetHumRatioFromVapPres(Z$4*1000,$E$1)&lt;GetSatHumRatio($A88,$E$1)+$J$1/1000,GetHumRatioFromVapPres(Z$4*1000,$E$1)*1000)</f>
        <v>12.523433173923985</v>
      </c>
      <c r="AA88" s="11">
        <f>IF(GetHumRatioFromVapPres(AA$4*1000,$E$1)&lt;GetSatHumRatio($A88,$E$1)+$J$1/1000,GetHumRatioFromVapPres(AA$4*1000,$E$1)*1000)</f>
        <v>18.976201372997711</v>
      </c>
      <c r="AB88" s="11">
        <f>IF(GetHumRatioFromVapPres(AB$4*1000,$E$1)&lt;GetSatHumRatio($A88,$E$1)+$J$1/1000,GetHumRatioFromVapPres(AB$4*1000,$E$1)*1000)</f>
        <v>25.561572052401743</v>
      </c>
      <c r="AC88" s="11">
        <f>IF(GetHumRatioFromVapPres(AC$4*1000,$E$1)&lt;GetSatHumRatio($A88,$E$1)+$J$1/1000,GetHumRatioFromVapPres(AC$4*1000,$E$1)*1000)</f>
        <v>32.283675058396057</v>
      </c>
    </row>
    <row r="89" spans="1:29" x14ac:dyDescent="0.25">
      <c r="A89" s="2">
        <f t="shared" si="11"/>
        <v>41.5</v>
      </c>
      <c r="B89" s="10">
        <f>GetSatHumRatio(A89,$E$1)*1000</f>
        <v>53.276247657703919</v>
      </c>
      <c r="C89" s="11">
        <f>GetHumRatioFromRelHum(A89,$C$4,$E$1)*1000</f>
        <v>47.541380074826627</v>
      </c>
      <c r="D89" s="11">
        <f>GetHumRatioFromRelHum($A89,D$4,$E$1)*1000</f>
        <v>41.903108162234254</v>
      </c>
      <c r="E89" s="11">
        <f>GetHumRatioFromRelHum($A89,E$4,$E$1)*1000</f>
        <v>36.359011777277388</v>
      </c>
      <c r="F89" s="11">
        <f>GetHumRatioFromRelHum($A89,F$4,$E$1)*1000</f>
        <v>30.906750954542172</v>
      </c>
      <c r="G89" s="11">
        <f>GetHumRatioFromRelHum($A89,G$4,$E$1)*1000</f>
        <v>25.544062612870498</v>
      </c>
      <c r="H89" s="11">
        <f>GetHumRatioFromRelHum($A89,H$4,$E$1)*1000</f>
        <v>20.268757423354064</v>
      </c>
      <c r="I89" s="11">
        <f>GetHumRatioFromRelHum($A89,I$4,$E$1)*1000</f>
        <v>15.078716829196074</v>
      </c>
      <c r="J89" s="11">
        <f>GetHumRatioFromRelHum($A89,J$4,$E$1)*1000</f>
        <v>9.9718902089180439</v>
      </c>
      <c r="K89" s="11">
        <f>GetHumRatioFromRelHum($A89,K$4,$E$1)*1000</f>
        <v>4.9462921749317728</v>
      </c>
      <c r="L89" s="11">
        <f>IF(GetHumRatioFromEnthalpyAndTDryBulb(L$4*1000,$A89)*1000&lt;=$B89+$J$1,GetHumRatioFromEnthalpyAndTDryBulb(L$4*1000,$A89)*1000)</f>
        <v>-12.314453162877834</v>
      </c>
      <c r="M89" s="11">
        <f>IF(GetHumRatioFromEnthalpyAndTDryBulb(M$4*1000,$A89)*1000&lt;=$B89+$J$1,GetHumRatioFromEnthalpyAndTDryBulb(M$4*1000,$A89)*1000)</f>
        <v>-4.557072985311402</v>
      </c>
      <c r="N89" s="11">
        <f>IF(GetHumRatioFromEnthalpyAndTDryBulb(N$4*1000,$A89)*1000&lt;=$B89+$J$1,GetHumRatioFromEnthalpyAndTDryBulb(N$4*1000,$A89)*1000)</f>
        <v>3.200307192255031</v>
      </c>
      <c r="O89" s="11">
        <f>IF(GetHumRatioFromEnthalpyAndTDryBulb(O$4*1000,$A89)*1000&lt;=$B89+$J$1,GetHumRatioFromEnthalpyAndTDryBulb(O$4*1000,$A89)*1000)</f>
        <v>10.957687369821462</v>
      </c>
      <c r="P89" s="11">
        <f>IF(GetHumRatioFromEnthalpyAndTDryBulb(P$4*1000,$A89)*1000&lt;=$B89+$J$1,GetHumRatioFromEnthalpyAndTDryBulb(P$4*1000,$A89)*1000)</f>
        <v>18.715067547387893</v>
      </c>
      <c r="Q89" s="11">
        <f>IF(GetHumRatioFromEnthalpyAndTDryBulb(Q$4*1000,$A89)*1000&lt;=$B89+$J$1,GetHumRatioFromEnthalpyAndTDryBulb(Q$4*1000,$A89)*1000)</f>
        <v>26.472447724954328</v>
      </c>
      <c r="R89" s="13">
        <f t="shared" si="10"/>
        <v>9.9999999999999991E-5</v>
      </c>
      <c r="S89" s="13">
        <f t="shared" si="10"/>
        <v>9.9999999999999991E-5</v>
      </c>
      <c r="T89" s="13">
        <f t="shared" si="10"/>
        <v>9.9999999999999991E-5</v>
      </c>
      <c r="U89" s="13">
        <f t="shared" si="10"/>
        <v>5.7886887288073163</v>
      </c>
      <c r="V89" s="13">
        <f t="shared" si="10"/>
        <v>13.121344593499936</v>
      </c>
      <c r="W89" s="13">
        <f t="shared" si="10"/>
        <v>22.24830994947656</v>
      </c>
      <c r="X89" s="13">
        <f t="shared" si="10"/>
        <v>33.704792049163665</v>
      </c>
      <c r="Y89" s="11">
        <f>IF(GetHumRatioFromVapPres(Y$4*1000,$E$1)&lt;GetSatHumRatio($A89,$E$1)+$J$1/1000,GetHumRatioFromVapPres(Y$4*1000,$E$1)*1000)</f>
        <v>6.199302267630201</v>
      </c>
      <c r="Z89" s="11">
        <f>IF(GetHumRatioFromVapPres(Z$4*1000,$E$1)&lt;GetSatHumRatio($A89,$E$1)+$J$1/1000,GetHumRatioFromVapPres(Z$4*1000,$E$1)*1000)</f>
        <v>12.523433173923985</v>
      </c>
      <c r="AA89" s="11">
        <f>IF(GetHumRatioFromVapPres(AA$4*1000,$E$1)&lt;GetSatHumRatio($A89,$E$1)+$J$1/1000,GetHumRatioFromVapPres(AA$4*1000,$E$1)*1000)</f>
        <v>18.976201372997711</v>
      </c>
      <c r="AB89" s="11">
        <f>IF(GetHumRatioFromVapPres(AB$4*1000,$E$1)&lt;GetSatHumRatio($A89,$E$1)+$J$1/1000,GetHumRatioFromVapPres(AB$4*1000,$E$1)*1000)</f>
        <v>25.561572052401743</v>
      </c>
      <c r="AC89" s="11">
        <f>IF(GetHumRatioFromVapPres(AC$4*1000,$E$1)&lt;GetSatHumRatio($A89,$E$1)+$J$1/1000,GetHumRatioFromVapPres(AC$4*1000,$E$1)*1000)</f>
        <v>32.283675058396057</v>
      </c>
    </row>
    <row r="90" spans="1:29" x14ac:dyDescent="0.25">
      <c r="A90" s="2">
        <f t="shared" si="11"/>
        <v>42</v>
      </c>
      <c r="B90" s="10">
        <f>GetSatHumRatio(A90,$E$1)*1000</f>
        <v>54.822450130979774</v>
      </c>
      <c r="C90" s="11">
        <f>GetHumRatioFromRelHum(A90,$C$4,$E$1)*1000</f>
        <v>48.909087254252704</v>
      </c>
      <c r="D90" s="11">
        <f>GetHumRatioFromRelHum($A90,D$4,$E$1)*1000</f>
        <v>43.098167158531282</v>
      </c>
      <c r="E90" s="11">
        <f>GetHumRatioFromRelHum($A90,E$4,$E$1)*1000</f>
        <v>37.387050634716417</v>
      </c>
      <c r="F90" s="11">
        <f>GetHumRatioFromRelHum($A90,F$4,$E$1)*1000</f>
        <v>31.773188359564816</v>
      </c>
      <c r="G90" s="11">
        <f>GetHumRatioFromRelHum($A90,G$4,$E$1)*1000</f>
        <v>26.254117101344075</v>
      </c>
      <c r="H90" s="11">
        <f>GetHumRatioFromRelHum($A90,H$4,$E$1)*1000</f>
        <v>20.827456116083262</v>
      </c>
      <c r="I90" s="11">
        <f>GetHumRatioFromRelHum($A90,I$4,$E$1)*1000</f>
        <v>15.490903723342026</v>
      </c>
      <c r="J90" s="11">
        <f>GetHumRatioFromRelHum($A90,J$4,$E$1)*1000</f>
        <v>10.242234051151145</v>
      </c>
      <c r="K90" s="11">
        <f>GetHumRatioFromRelHum($A90,K$4,$E$1)*1000</f>
        <v>5.0792939404533222</v>
      </c>
      <c r="L90" s="11">
        <f>IF(GetHumRatioFromEnthalpyAndTDryBulb(L$4*1000,$A90)*1000&lt;=$B90+$J$1,GetHumRatioFromEnthalpyAndTDryBulb(L$4*1000,$A90)*1000)</f>
        <v>-12.505040478923046</v>
      </c>
      <c r="M90" s="11">
        <f>IF(GetHumRatioFromEnthalpyAndTDryBulb(M$4*1000,$A90)*1000&lt;=$B90+$J$1,GetHumRatioFromEnthalpyAndTDryBulb(M$4*1000,$A90)*1000)</f>
        <v>-4.750457520394554</v>
      </c>
      <c r="N90" s="11">
        <f>IF(GetHumRatioFromEnthalpyAndTDryBulb(N$4*1000,$A90)*1000&lt;=$B90+$J$1,GetHumRatioFromEnthalpyAndTDryBulb(N$4*1000,$A90)*1000)</f>
        <v>3.0041254381339364</v>
      </c>
      <c r="O90" s="11">
        <f>IF(GetHumRatioFromEnthalpyAndTDryBulb(O$4*1000,$A90)*1000&lt;=$B90+$J$1,GetHumRatioFromEnthalpyAndTDryBulb(O$4*1000,$A90)*1000)</f>
        <v>10.758708396662428</v>
      </c>
      <c r="P90" s="11">
        <f>IF(GetHumRatioFromEnthalpyAndTDryBulb(P$4*1000,$A90)*1000&lt;=$B90+$J$1,GetHumRatioFromEnthalpyAndTDryBulb(P$4*1000,$A90)*1000)</f>
        <v>18.513291355190916</v>
      </c>
      <c r="Q90" s="11">
        <f>IF(GetHumRatioFromEnthalpyAndTDryBulb(Q$4*1000,$A90)*1000&lt;=$B90+$J$1,GetHumRatioFromEnthalpyAndTDryBulb(Q$4*1000,$A90)*1000)</f>
        <v>26.267874313719403</v>
      </c>
      <c r="R90" s="13">
        <f t="shared" si="10"/>
        <v>9.9999999999999991E-5</v>
      </c>
      <c r="S90" s="13">
        <f t="shared" si="10"/>
        <v>9.9999999999999991E-5</v>
      </c>
      <c r="T90" s="13">
        <f t="shared" si="10"/>
        <v>9.9999999999999991E-5</v>
      </c>
      <c r="U90" s="13">
        <f t="shared" si="10"/>
        <v>5.5849604766161693</v>
      </c>
      <c r="V90" s="13">
        <f t="shared" si="10"/>
        <v>12.913137239815329</v>
      </c>
      <c r="W90" s="13">
        <f t="shared" si="10"/>
        <v>22.034866953538852</v>
      </c>
      <c r="X90" s="13">
        <f t="shared" si="10"/>
        <v>33.485132729911626</v>
      </c>
      <c r="Y90" s="11">
        <f>IF(GetHumRatioFromVapPres(Y$4*1000,$E$1)&lt;GetSatHumRatio($A90,$E$1)+$J$1/1000,GetHumRatioFromVapPres(Y$4*1000,$E$1)*1000)</f>
        <v>6.199302267630201</v>
      </c>
      <c r="Z90" s="11">
        <f>IF(GetHumRatioFromVapPres(Z$4*1000,$E$1)&lt;GetSatHumRatio($A90,$E$1)+$J$1/1000,GetHumRatioFromVapPres(Z$4*1000,$E$1)*1000)</f>
        <v>12.523433173923985</v>
      </c>
      <c r="AA90" s="11">
        <f>IF(GetHumRatioFromVapPres(AA$4*1000,$E$1)&lt;GetSatHumRatio($A90,$E$1)+$J$1/1000,GetHumRatioFromVapPres(AA$4*1000,$E$1)*1000)</f>
        <v>18.976201372997711</v>
      </c>
      <c r="AB90" s="11">
        <f>IF(GetHumRatioFromVapPres(AB$4*1000,$E$1)&lt;GetSatHumRatio($A90,$E$1)+$J$1/1000,GetHumRatioFromVapPres(AB$4*1000,$E$1)*1000)</f>
        <v>25.561572052401743</v>
      </c>
      <c r="AC90" s="11">
        <f>IF(GetHumRatioFromVapPres(AC$4*1000,$E$1)&lt;GetSatHumRatio($A90,$E$1)+$J$1/1000,GetHumRatioFromVapPres(AC$4*1000,$E$1)*1000)</f>
        <v>32.283675058396057</v>
      </c>
    </row>
    <row r="91" spans="1:29" x14ac:dyDescent="0.25">
      <c r="A91" s="2">
        <f t="shared" si="11"/>
        <v>42.5</v>
      </c>
      <c r="B91" s="10">
        <f>GetSatHumRatio(A91,$E$1)*1000</f>
        <v>56.411426037929672</v>
      </c>
      <c r="C91" s="11">
        <f>GetHumRatioFromRelHum(A91,$C$4,$E$1)*1000</f>
        <v>50.313927900697578</v>
      </c>
      <c r="D91" s="11">
        <f>GetHumRatioFromRelHum($A91,D$4,$E$1)*1000</f>
        <v>44.325069606763499</v>
      </c>
      <c r="E91" s="11">
        <f>GetHumRatioFromRelHum($A91,E$4,$E$1)*1000</f>
        <v>38.44197332015144</v>
      </c>
      <c r="F91" s="11">
        <f>GetHumRatioFromRelHum($A91,F$4,$E$1)*1000</f>
        <v>32.661861959219337</v>
      </c>
      <c r="G91" s="11">
        <f>GetHumRatioFromRelHum($A91,G$4,$E$1)*1000</f>
        <v>26.982054825599146</v>
      </c>
      <c r="H91" s="11">
        <f>GetHumRatioFromRelHum($A91,H$4,$E$1)*1000</f>
        <v>21.399963458736575</v>
      </c>
      <c r="I91" s="11">
        <f>GetHumRatioFromRelHum($A91,I$4,$E$1)*1000</f>
        <v>15.913087702562622</v>
      </c>
      <c r="J91" s="11">
        <f>GetHumRatioFromRelHum($A91,J$4,$E$1)*1000</f>
        <v>10.519011971739211</v>
      </c>
      <c r="K91" s="11">
        <f>GetHumRatioFromRelHum($A91,K$4,$E$1)*1000</f>
        <v>5.2154017057641591</v>
      </c>
      <c r="L91" s="11">
        <f>IF(GetHumRatioFromEnthalpyAndTDryBulb(L$4*1000,$A91)*1000&lt;=$B91+$J$1,GetHumRatioFromEnthalpyAndTDryBulb(L$4*1000,$A91)*1000)</f>
        <v>-12.695490397472918</v>
      </c>
      <c r="M91" s="11">
        <f>IF(GetHumRatioFromEnthalpyAndTDryBulb(M$4*1000,$A91)*1000&lt;=$B91+$J$1,GetHumRatioFromEnthalpyAndTDryBulb(M$4*1000,$A91)*1000)</f>
        <v>-4.9437026414216785</v>
      </c>
      <c r="N91" s="11">
        <f>IF(GetHumRatioFromEnthalpyAndTDryBulb(N$4*1000,$A91)*1000&lt;=$B91+$J$1,GetHumRatioFromEnthalpyAndTDryBulb(N$4*1000,$A91)*1000)</f>
        <v>2.8080851146295602</v>
      </c>
      <c r="O91" s="11">
        <f>IF(GetHumRatioFromEnthalpyAndTDryBulb(O$4*1000,$A91)*1000&lt;=$B91+$J$1,GetHumRatioFromEnthalpyAndTDryBulb(O$4*1000,$A91)*1000)</f>
        <v>10.559872870680799</v>
      </c>
      <c r="P91" s="11">
        <f>IF(GetHumRatioFromEnthalpyAndTDryBulb(P$4*1000,$A91)*1000&lt;=$B91+$J$1,GetHumRatioFromEnthalpyAndTDryBulb(P$4*1000,$A91)*1000)</f>
        <v>18.311660626732039</v>
      </c>
      <c r="Q91" s="11">
        <f>IF(GetHumRatioFromEnthalpyAndTDryBulb(Q$4*1000,$A91)*1000&lt;=$B91+$J$1,GetHumRatioFromEnthalpyAndTDryBulb(Q$4*1000,$A91)*1000)</f>
        <v>26.063448382783282</v>
      </c>
      <c r="R91" s="13">
        <f t="shared" si="10"/>
        <v>9.9999999999999991E-5</v>
      </c>
      <c r="S91" s="13">
        <f t="shared" si="10"/>
        <v>9.9999999999999991E-5</v>
      </c>
      <c r="T91" s="13">
        <f t="shared" si="10"/>
        <v>9.9999999999999991E-5</v>
      </c>
      <c r="U91" s="13">
        <f t="shared" si="10"/>
        <v>5.3813840210821438</v>
      </c>
      <c r="V91" s="13">
        <f t="shared" si="10"/>
        <v>12.705086331827516</v>
      </c>
      <c r="W91" s="13">
        <f t="shared" si="10"/>
        <v>21.821585704932513</v>
      </c>
      <c r="X91" s="13">
        <f t="shared" si="10"/>
        <v>33.265641300373247</v>
      </c>
      <c r="Y91" s="11">
        <f>IF(GetHumRatioFromVapPres(Y$4*1000,$E$1)&lt;GetSatHumRatio($A91,$E$1)+$J$1/1000,GetHumRatioFromVapPres(Y$4*1000,$E$1)*1000)</f>
        <v>6.199302267630201</v>
      </c>
      <c r="Z91" s="11">
        <f>IF(GetHumRatioFromVapPres(Z$4*1000,$E$1)&lt;GetSatHumRatio($A91,$E$1)+$J$1/1000,GetHumRatioFromVapPres(Z$4*1000,$E$1)*1000)</f>
        <v>12.523433173923985</v>
      </c>
      <c r="AA91" s="11">
        <f>IF(GetHumRatioFromVapPres(AA$4*1000,$E$1)&lt;GetSatHumRatio($A91,$E$1)+$J$1/1000,GetHumRatioFromVapPres(AA$4*1000,$E$1)*1000)</f>
        <v>18.976201372997711</v>
      </c>
      <c r="AB91" s="11">
        <f>IF(GetHumRatioFromVapPres(AB$4*1000,$E$1)&lt;GetSatHumRatio($A91,$E$1)+$J$1/1000,GetHumRatioFromVapPres(AB$4*1000,$E$1)*1000)</f>
        <v>25.561572052401743</v>
      </c>
      <c r="AC91" s="11">
        <f>IF(GetHumRatioFromVapPres(AC$4*1000,$E$1)&lt;GetSatHumRatio($A91,$E$1)+$J$1/1000,GetHumRatioFromVapPres(AC$4*1000,$E$1)*1000)</f>
        <v>32.283675058396057</v>
      </c>
    </row>
    <row r="92" spans="1:29" x14ac:dyDescent="0.25">
      <c r="A92" s="2">
        <f t="shared" si="11"/>
        <v>43</v>
      </c>
      <c r="B92" s="10">
        <f>GetSatHumRatio(A92,$E$1)*1000</f>
        <v>58.04440352276152</v>
      </c>
      <c r="C92" s="11">
        <f>GetHumRatioFromRelHum(A92,$C$4,$E$1)*1000</f>
        <v>51.756930083179036</v>
      </c>
      <c r="D92" s="11">
        <f>GetHumRatioFromRelHum($A92,D$4,$E$1)*1000</f>
        <v>45.584664728206469</v>
      </c>
      <c r="E92" s="11">
        <f>GetHumRatioFromRelHum($A92,E$4,$E$1)*1000</f>
        <v>39.524469694089781</v>
      </c>
      <c r="F92" s="11">
        <f>GetHumRatioFromRelHum($A92,F$4,$E$1)*1000</f>
        <v>33.57332013718527</v>
      </c>
      <c r="G92" s="11">
        <f>GetHumRatioFromRelHum($A92,G$4,$E$1)*1000</f>
        <v>27.728299099619562</v>
      </c>
      <c r="H92" s="11">
        <f>GetHumRatioFromRelHum($A92,H$4,$E$1)*1000</f>
        <v>21.986592741905625</v>
      </c>
      <c r="I92" s="11">
        <f>GetHumRatioFromRelHum($A92,I$4,$E$1)*1000</f>
        <v>16.345485826144373</v>
      </c>
      <c r="J92" s="11">
        <f>GetHumRatioFromRelHum($A92,J$4,$E$1)*1000</f>
        <v>10.802357434578553</v>
      </c>
      <c r="K92" s="11">
        <f>GetHumRatioFromRelHum($A92,K$4,$E$1)*1000</f>
        <v>5.3546769093150157</v>
      </c>
      <c r="L92" s="11">
        <f>IF(GetHumRatioFromEnthalpyAndTDryBulb(L$4*1000,$A92)*1000&lt;=$B92+$J$1,GetHumRatioFromEnthalpyAndTDryBulb(L$4*1000,$A92)*1000)</f>
        <v>-12.88580306705205</v>
      </c>
      <c r="M92" s="11">
        <f>IF(GetHumRatioFromEnthalpyAndTDryBulb(M$4*1000,$A92)*1000&lt;=$B92+$J$1,GetHumRatioFromEnthalpyAndTDryBulb(M$4*1000,$A92)*1000)</f>
        <v>-5.1368084990972429</v>
      </c>
      <c r="N92" s="11">
        <f>IF(GetHumRatioFromEnthalpyAndTDryBulb(N$4*1000,$A92)*1000&lt;=$B92+$J$1,GetHumRatioFromEnthalpyAndTDryBulb(N$4*1000,$A92)*1000)</f>
        <v>2.6121860688575644</v>
      </c>
      <c r="O92" s="11">
        <f>IF(GetHumRatioFromEnthalpyAndTDryBulb(O$4*1000,$A92)*1000&lt;=$B92+$J$1,GetHumRatioFromEnthalpyAndTDryBulb(O$4*1000,$A92)*1000)</f>
        <v>10.361180636812373</v>
      </c>
      <c r="P92" s="11">
        <f>IF(GetHumRatioFromEnthalpyAndTDryBulb(P$4*1000,$A92)*1000&lt;=$B92+$J$1,GetHumRatioFromEnthalpyAndTDryBulb(P$4*1000,$A92)*1000)</f>
        <v>18.110175204767181</v>
      </c>
      <c r="Q92" s="11">
        <f>IF(GetHumRatioFromEnthalpyAndTDryBulb(Q$4*1000,$A92)*1000&lt;=$B92+$J$1,GetHumRatioFromEnthalpyAndTDryBulb(Q$4*1000,$A92)*1000)</f>
        <v>25.859169772721984</v>
      </c>
      <c r="R92" s="13">
        <f t="shared" si="10"/>
        <v>9.9999999999999991E-5</v>
      </c>
      <c r="S92" s="13">
        <f t="shared" si="10"/>
        <v>9.9999999999999991E-5</v>
      </c>
      <c r="T92" s="13">
        <f t="shared" si="10"/>
        <v>9.9999999999999991E-5</v>
      </c>
      <c r="U92" s="13">
        <f t="shared" si="10"/>
        <v>5.1779591926143009</v>
      </c>
      <c r="V92" s="13">
        <f t="shared" si="10"/>
        <v>12.497191693274255</v>
      </c>
      <c r="W92" s="13">
        <f t="shared" si="10"/>
        <v>21.608466019868743</v>
      </c>
      <c r="X92" s="13">
        <f t="shared" si="10"/>
        <v>33.046317568140211</v>
      </c>
      <c r="Y92" s="11">
        <f>IF(GetHumRatioFromVapPres(Y$4*1000,$E$1)&lt;GetSatHumRatio($A92,$E$1)+$J$1/1000,GetHumRatioFromVapPres(Y$4*1000,$E$1)*1000)</f>
        <v>6.199302267630201</v>
      </c>
      <c r="Z92" s="11">
        <f>IF(GetHumRatioFromVapPres(Z$4*1000,$E$1)&lt;GetSatHumRatio($A92,$E$1)+$J$1/1000,GetHumRatioFromVapPres(Z$4*1000,$E$1)*1000)</f>
        <v>12.523433173923985</v>
      </c>
      <c r="AA92" s="11">
        <f>IF(GetHumRatioFromVapPres(AA$4*1000,$E$1)&lt;GetSatHumRatio($A92,$E$1)+$J$1/1000,GetHumRatioFromVapPres(AA$4*1000,$E$1)*1000)</f>
        <v>18.976201372997711</v>
      </c>
      <c r="AB92" s="11">
        <f>IF(GetHumRatioFromVapPres(AB$4*1000,$E$1)&lt;GetSatHumRatio($A92,$E$1)+$J$1/1000,GetHumRatioFromVapPres(AB$4*1000,$E$1)*1000)</f>
        <v>25.561572052401743</v>
      </c>
      <c r="AC92" s="11">
        <f>IF(GetHumRatioFromVapPres(AC$4*1000,$E$1)&lt;GetSatHumRatio($A92,$E$1)+$J$1/1000,GetHumRatioFromVapPres(AC$4*1000,$E$1)*1000)</f>
        <v>32.283675058396057</v>
      </c>
    </row>
    <row r="93" spans="1:29" x14ac:dyDescent="0.25">
      <c r="A93" s="2">
        <f t="shared" si="11"/>
        <v>43.5</v>
      </c>
      <c r="B93" s="10">
        <f>GetSatHumRatio(A93,$E$1)*1000</f>
        <v>59.722652695332897</v>
      </c>
      <c r="C93" s="11">
        <f>GetHumRatioFromRelHum(A93,$C$4,$E$1)*1000</f>
        <v>53.23915515078123</v>
      </c>
      <c r="D93" s="11">
        <f>GetHumRatioFromRelHum($A93,D$4,$E$1)*1000</f>
        <v>46.87782768585685</v>
      </c>
      <c r="E93" s="11">
        <f>GetHumRatioFromRelHum($A93,E$4,$E$1)*1000</f>
        <v>40.635249411259998</v>
      </c>
      <c r="F93" s="11">
        <f>GetHumRatioFromRelHum($A93,F$4,$E$1)*1000</f>
        <v>34.508125974580743</v>
      </c>
      <c r="G93" s="11">
        <f>GetHumRatioFromRelHum($A93,G$4,$E$1)*1000</f>
        <v>28.493283763240512</v>
      </c>
      <c r="H93" s="11">
        <f>GetHumRatioFromRelHum($A93,H$4,$E$1)*1000</f>
        <v>22.587664423238166</v>
      </c>
      <c r="I93" s="11">
        <f>GetHumRatioFromRelHum($A93,I$4,$E$1)*1000</f>
        <v>16.788319673809788</v>
      </c>
      <c r="J93" s="11">
        <f>GetHumRatioFromRelHum($A93,J$4,$E$1)*1000</f>
        <v>11.092406399530573</v>
      </c>
      <c r="K93" s="11">
        <f>GetHumRatioFromRelHum($A93,K$4,$E$1)*1000</f>
        <v>5.4971820026931519</v>
      </c>
      <c r="L93" s="11">
        <f>IF(GetHumRatioFromEnthalpyAndTDryBulb(L$4*1000,$A93)*1000&lt;=$B93+$J$1,GetHumRatioFromEnthalpyAndTDryBulb(L$4*1000,$A93)*1000)</f>
        <v>-13.075978635971047</v>
      </c>
      <c r="M93" s="11">
        <f>IF(GetHumRatioFromEnthalpyAndTDryBulb(M$4*1000,$A93)*1000&lt;=$B93+$J$1,GetHumRatioFromEnthalpyAndTDryBulb(M$4*1000,$A93)*1000)</f>
        <v>-5.329775243908581</v>
      </c>
      <c r="N93" s="11">
        <f>IF(GetHumRatioFromEnthalpyAndTDryBulb(N$4*1000,$A93)*1000&lt;=$B93+$J$1,GetHumRatioFromEnthalpyAndTDryBulb(N$4*1000,$A93)*1000)</f>
        <v>2.416428148153885</v>
      </c>
      <c r="O93" s="11">
        <f>IF(GetHumRatioFromEnthalpyAndTDryBulb(O$4*1000,$A93)*1000&lt;=$B93+$J$1,GetHumRatioFromEnthalpyAndTDryBulb(O$4*1000,$A93)*1000)</f>
        <v>10.162631540216351</v>
      </c>
      <c r="P93" s="11">
        <f>IF(GetHumRatioFromEnthalpyAndTDryBulb(P$4*1000,$A93)*1000&lt;=$B93+$J$1,GetHumRatioFromEnthalpyAndTDryBulb(P$4*1000,$A93)*1000)</f>
        <v>17.908834932278815</v>
      </c>
      <c r="Q93" s="11">
        <f>IF(GetHumRatioFromEnthalpyAndTDryBulb(Q$4*1000,$A93)*1000&lt;=$B93+$J$1,GetHumRatioFromEnthalpyAndTDryBulb(Q$4*1000,$A93)*1000)</f>
        <v>25.655038324341284</v>
      </c>
      <c r="R93" s="13">
        <f t="shared" si="10"/>
        <v>9.9999999999999991E-5</v>
      </c>
      <c r="S93" s="13">
        <f t="shared" si="10"/>
        <v>9.9999999999999991E-5</v>
      </c>
      <c r="T93" s="13">
        <f t="shared" si="10"/>
        <v>9.9999999999999991E-5</v>
      </c>
      <c r="U93" s="13">
        <f t="shared" si="10"/>
        <v>4.9746858218742327</v>
      </c>
      <c r="V93" s="13">
        <f t="shared" si="10"/>
        <v>12.28945314815798</v>
      </c>
      <c r="W93" s="13">
        <f t="shared" si="10"/>
        <v>21.395507714837059</v>
      </c>
      <c r="X93" s="13">
        <f t="shared" si="10"/>
        <v>32.827161341098105</v>
      </c>
      <c r="Y93" s="11">
        <f>IF(GetHumRatioFromVapPres(Y$4*1000,$E$1)&lt;GetSatHumRatio($A93,$E$1)+$J$1/1000,GetHumRatioFromVapPres(Y$4*1000,$E$1)*1000)</f>
        <v>6.199302267630201</v>
      </c>
      <c r="Z93" s="11">
        <f>IF(GetHumRatioFromVapPres(Z$4*1000,$E$1)&lt;GetSatHumRatio($A93,$E$1)+$J$1/1000,GetHumRatioFromVapPres(Z$4*1000,$E$1)*1000)</f>
        <v>12.523433173923985</v>
      </c>
      <c r="AA93" s="11">
        <f>IF(GetHumRatioFromVapPres(AA$4*1000,$E$1)&lt;GetSatHumRatio($A93,$E$1)+$J$1/1000,GetHumRatioFromVapPres(AA$4*1000,$E$1)*1000)</f>
        <v>18.976201372997711</v>
      </c>
      <c r="AB93" s="11">
        <f>IF(GetHumRatioFromVapPres(AB$4*1000,$E$1)&lt;GetSatHumRatio($A93,$E$1)+$J$1/1000,GetHumRatioFromVapPres(AB$4*1000,$E$1)*1000)</f>
        <v>25.561572052401743</v>
      </c>
      <c r="AC93" s="11">
        <f>IF(GetHumRatioFromVapPres(AC$4*1000,$E$1)&lt;GetSatHumRatio($A93,$E$1)+$J$1/1000,GetHumRatioFromVapPres(AC$4*1000,$E$1)*1000)</f>
        <v>32.283675058396057</v>
      </c>
    </row>
    <row r="94" spans="1:29" x14ac:dyDescent="0.25">
      <c r="A94" s="2">
        <f t="shared" si="11"/>
        <v>44</v>
      </c>
      <c r="B94" s="10">
        <f>GetSatHumRatio(A94,$E$1)*1000</f>
        <v>61.447487479080429</v>
      </c>
      <c r="C94" s="11">
        <f>GetHumRatioFromRelHum(A94,$C$4,$E$1)*1000</f>
        <v>54.761699118200376</v>
      </c>
      <c r="D94" s="11">
        <f>GetHumRatioFromRelHum($A94,D$4,$E$1)*1000</f>
        <v>48.205460599914829</v>
      </c>
      <c r="E94" s="11">
        <f>GetHumRatioFromRelHum($A94,E$4,$E$1)*1000</f>
        <v>41.7750426439368</v>
      </c>
      <c r="F94" s="11">
        <f>GetHumRatioFromRelHum($A94,F$4,$E$1)*1000</f>
        <v>35.466857746560187</v>
      </c>
      <c r="G94" s="11">
        <f>GetHumRatioFromRelHum($A94,G$4,$E$1)*1000</f>
        <v>29.277453506665765</v>
      </c>
      <c r="H94" s="11">
        <f>GetHumRatioFromRelHum($A94,H$4,$E$1)*1000</f>
        <v>23.203506325216793</v>
      </c>
      <c r="I94" s="11">
        <f>GetHumRatioFromRelHum($A94,I$4,$E$1)*1000</f>
        <v>17.241815454085085</v>
      </c>
      <c r="J94" s="11">
        <f>GetHumRatioFromRelHum($A94,J$4,$E$1)*1000</f>
        <v>11.389297371817614</v>
      </c>
      <c r="K94" s="11">
        <f>GetHumRatioFromRelHum($A94,K$4,$E$1)*1000</f>
        <v>5.6429804655791651</v>
      </c>
      <c r="L94" s="11">
        <f>IF(GetHumRatioFromEnthalpyAndTDryBulb(L$4*1000,$A94)*1000&lt;=$B94+$J$1,GetHumRatioFromEnthalpyAndTDryBulb(L$4*1000,$A94)*1000)</f>
        <v>-13.266017252326897</v>
      </c>
      <c r="M94" s="11">
        <f>IF(GetHumRatioFromEnthalpyAndTDryBulb(M$4*1000,$A94)*1000&lt;=$B94+$J$1,GetHumRatioFromEnthalpyAndTDryBulb(M$4*1000,$A94)*1000)</f>
        <v>-5.52260302612628</v>
      </c>
      <c r="N94" s="11">
        <f>IF(GetHumRatioFromEnthalpyAndTDryBulb(N$4*1000,$A94)*1000&lt;=$B94+$J$1,GetHumRatioFromEnthalpyAndTDryBulb(N$4*1000,$A94)*1000)</f>
        <v>2.2208112000743356</v>
      </c>
      <c r="O94" s="11">
        <f>IF(GetHumRatioFromEnthalpyAndTDryBulb(O$4*1000,$A94)*1000&lt;=$B94+$J$1,GetHumRatioFromEnthalpyAndTDryBulb(O$4*1000,$A94)*1000)</f>
        <v>9.9642254262749521</v>
      </c>
      <c r="P94" s="11">
        <f>IF(GetHumRatioFromEnthalpyAndTDryBulb(P$4*1000,$A94)*1000&lt;=$B94+$J$1,GetHumRatioFromEnthalpyAndTDryBulb(P$4*1000,$A94)*1000)</f>
        <v>17.707639652475567</v>
      </c>
      <c r="Q94" s="11">
        <f>IF(GetHumRatioFromEnthalpyAndTDryBulb(Q$4*1000,$A94)*1000&lt;=$B94+$J$1,GetHumRatioFromEnthalpyAndTDryBulb(Q$4*1000,$A94)*1000)</f>
        <v>25.451053878676181</v>
      </c>
      <c r="R94" s="13">
        <f t="shared" si="10"/>
        <v>9.9999999999999991E-5</v>
      </c>
      <c r="S94" s="13">
        <f t="shared" si="10"/>
        <v>9.9999999999999991E-5</v>
      </c>
      <c r="T94" s="13">
        <f t="shared" si="10"/>
        <v>9.9999999999999991E-5</v>
      </c>
      <c r="U94" s="13">
        <f t="shared" si="10"/>
        <v>4.7715637397755968</v>
      </c>
      <c r="V94" s="13">
        <f t="shared" si="10"/>
        <v>12.081870520745316</v>
      </c>
      <c r="W94" s="13">
        <f t="shared" si="10"/>
        <v>21.182710606604797</v>
      </c>
      <c r="X94" s="13">
        <f t="shared" si="10"/>
        <v>32.608172427425806</v>
      </c>
      <c r="Y94" s="11">
        <f>IF(GetHumRatioFromVapPres(Y$4*1000,$E$1)&lt;GetSatHumRatio($A94,$E$1)+$J$1/1000,GetHumRatioFromVapPres(Y$4*1000,$E$1)*1000)</f>
        <v>6.199302267630201</v>
      </c>
      <c r="Z94" s="11">
        <f>IF(GetHumRatioFromVapPres(Z$4*1000,$E$1)&lt;GetSatHumRatio($A94,$E$1)+$J$1/1000,GetHumRatioFromVapPres(Z$4*1000,$E$1)*1000)</f>
        <v>12.523433173923985</v>
      </c>
      <c r="AA94" s="11">
        <f>IF(GetHumRatioFromVapPres(AA$4*1000,$E$1)&lt;GetSatHumRatio($A94,$E$1)+$J$1/1000,GetHumRatioFromVapPres(AA$4*1000,$E$1)*1000)</f>
        <v>18.976201372997711</v>
      </c>
      <c r="AB94" s="11">
        <f>IF(GetHumRatioFromVapPres(AB$4*1000,$E$1)&lt;GetSatHumRatio($A94,$E$1)+$J$1/1000,GetHumRatioFromVapPres(AB$4*1000,$E$1)*1000)</f>
        <v>25.561572052401743</v>
      </c>
      <c r="AC94" s="11">
        <f>IF(GetHumRatioFromVapPres(AC$4*1000,$E$1)&lt;GetSatHumRatio($A94,$E$1)+$J$1/1000,GetHumRatioFromVapPres(AC$4*1000,$E$1)*1000)</f>
        <v>32.283675058396057</v>
      </c>
    </row>
    <row r="95" spans="1:29" x14ac:dyDescent="0.25">
      <c r="A95" s="2">
        <f>A94+0.5</f>
        <v>44.5</v>
      </c>
      <c r="B95" s="10">
        <f>GetSatHumRatio(A95,$E$1)*1000</f>
        <v>63.220267559590063</v>
      </c>
      <c r="C95" s="11">
        <f>GetHumRatioFromRelHum(A95,$C$4,$E$1)*1000</f>
        <v>56.325694122986498</v>
      </c>
      <c r="D95" s="11">
        <f>GetHumRatioFromRelHum($A95,D$4,$E$1)*1000</f>
        <v>49.568493612990814</v>
      </c>
      <c r="E95" s="11">
        <f>GetHumRatioFromRelHum($A95,E$4,$E$1)*1000</f>
        <v>42.944600838607123</v>
      </c>
      <c r="F95" s="11">
        <f>GetHumRatioFromRelHum($A95,F$4,$E$1)*1000</f>
        <v>36.450109440308218</v>
      </c>
      <c r="G95" s="11">
        <f>GetHumRatioFromRelHum($A95,G$4,$E$1)*1000</f>
        <v>30.081264207923223</v>
      </c>
      <c r="H95" s="11">
        <f>GetHumRatioFromRelHum($A95,H$4,$E$1)*1000</f>
        <v>23.834453840121235</v>
      </c>
      <c r="I95" s="11">
        <f>GetHumRatioFromRelHum($A95,I$4,$E$1)*1000</f>
        <v>17.706204116156691</v>
      </c>
      <c r="J95" s="11">
        <f>GetHumRatioFromRelHum($A95,J$4,$E$1)*1000</f>
        <v>11.693171452748272</v>
      </c>
      <c r="K95" s="11">
        <f>GetHumRatioFromRelHum($A95,K$4,$E$1)*1000</f>
        <v>5.7921368209841555</v>
      </c>
      <c r="L95" s="11">
        <f>IF(GetHumRatioFromEnthalpyAndTDryBulb(L$4*1000,$A95)*1000&lt;=$B95+$J$1,GetHumRatioFromEnthalpyAndTDryBulb(L$4*1000,$A95)*1000)</f>
        <v>-13.455919064003377</v>
      </c>
      <c r="M95" s="11">
        <f>IF(GetHumRatioFromEnthalpyAndTDryBulb(M$4*1000,$A95)*1000&lt;=$B95+$J$1,GetHumRatioFromEnthalpyAndTDryBulb(M$4*1000,$A95)*1000)</f>
        <v>-5.7152919958045807</v>
      </c>
      <c r="N95" s="11">
        <f>IF(GetHumRatioFromEnthalpyAndTDryBulb(N$4*1000,$A95)*1000&lt;=$B95+$J$1,GetHumRatioFromEnthalpyAndTDryBulb(N$4*1000,$A95)*1000)</f>
        <v>2.0253350723942134</v>
      </c>
      <c r="O95" s="11">
        <f>IF(GetHumRatioFromEnthalpyAndTDryBulb(O$4*1000,$A95)*1000&lt;=$B95+$J$1,GetHumRatioFromEnthalpyAndTDryBulb(O$4*1000,$A95)*1000)</f>
        <v>9.7659621405930093</v>
      </c>
      <c r="P95" s="11">
        <f>IF(GetHumRatioFromEnthalpyAndTDryBulb(P$4*1000,$A95)*1000&lt;=$B95+$J$1,GetHumRatioFromEnthalpyAndTDryBulb(P$4*1000,$A95)*1000)</f>
        <v>17.506589208791802</v>
      </c>
      <c r="Q95" s="11">
        <f>IF(GetHumRatioFromEnthalpyAndTDryBulb(Q$4*1000,$A95)*1000&lt;=$B95+$J$1,GetHumRatioFromEnthalpyAndTDryBulb(Q$4*1000,$A95)*1000)</f>
        <v>25.247216276990599</v>
      </c>
      <c r="R95" s="13">
        <f t="shared" si="10"/>
        <v>9.9999999999999991E-5</v>
      </c>
      <c r="S95" s="13">
        <f t="shared" si="10"/>
        <v>9.9999999999999991E-5</v>
      </c>
      <c r="T95" s="13">
        <f t="shared" si="10"/>
        <v>9.9999999999999991E-5</v>
      </c>
      <c r="U95" s="13">
        <f t="shared" si="10"/>
        <v>4.568592777483647</v>
      </c>
      <c r="V95" s="13">
        <f t="shared" si="10"/>
        <v>11.874443635566587</v>
      </c>
      <c r="W95" s="13">
        <f t="shared" si="10"/>
        <v>20.970074512216595</v>
      </c>
      <c r="X95" s="13">
        <f t="shared" si="10"/>
        <v>32.389350635595008</v>
      </c>
      <c r="Y95" s="11">
        <f>IF(GetHumRatioFromVapPres(Y$4*1000,$E$1)&lt;GetSatHumRatio($A95,$E$1)+$J$1/1000,GetHumRatioFromVapPres(Y$4*1000,$E$1)*1000)</f>
        <v>6.199302267630201</v>
      </c>
      <c r="Z95" s="11">
        <f>IF(GetHumRatioFromVapPres(Z$4*1000,$E$1)&lt;GetSatHumRatio($A95,$E$1)+$J$1/1000,GetHumRatioFromVapPres(Z$4*1000,$E$1)*1000)</f>
        <v>12.523433173923985</v>
      </c>
      <c r="AA95" s="11">
        <f>IF(GetHumRatioFromVapPres(AA$4*1000,$E$1)&lt;GetSatHumRatio($A95,$E$1)+$J$1/1000,GetHumRatioFromVapPres(AA$4*1000,$E$1)*1000)</f>
        <v>18.976201372997711</v>
      </c>
      <c r="AB95" s="11">
        <f>IF(GetHumRatioFromVapPres(AB$4*1000,$E$1)&lt;GetSatHumRatio($A95,$E$1)+$J$1/1000,GetHumRatioFromVapPres(AB$4*1000,$E$1)*1000)</f>
        <v>25.561572052401743</v>
      </c>
      <c r="AC95" s="11">
        <f>IF(GetHumRatioFromVapPres(AC$4*1000,$E$1)&lt;GetSatHumRatio($A95,$E$1)+$J$1/1000,GetHumRatioFromVapPres(AC$4*1000,$E$1)*1000)</f>
        <v>32.283675058396057</v>
      </c>
    </row>
    <row r="96" spans="1:29" x14ac:dyDescent="0.25">
      <c r="A96" s="2">
        <f t="shared" ref="A96" si="12">A95+0.5</f>
        <v>45</v>
      </c>
      <c r="B96" s="10">
        <f>GetSatHumRatio(A96,$E$1)*1000</f>
        <v>65.042400440210344</v>
      </c>
      <c r="C96" s="11">
        <f>GetHumRatioFromRelHum(A96,$C$4,$E$1)*1000</f>
        <v>57.932309958808638</v>
      </c>
      <c r="D96" s="11">
        <f>GetHumRatioFromRelHum($A96,D$4,$E$1)*1000</f>
        <v>50.967886007872536</v>
      </c>
      <c r="E96" s="11">
        <f>GetHumRatioFromRelHum($A96,E$4,$E$1)*1000</f>
        <v>44.144697507765194</v>
      </c>
      <c r="F96" s="11">
        <f>GetHumRatioFromRelHum($A96,F$4,$E$1)*1000</f>
        <v>37.458491295501553</v>
      </c>
      <c r="G96" s="11">
        <f>GetHumRatioFromRelHum($A96,G$4,$E$1)*1000</f>
        <v>30.905183283859305</v>
      </c>
      <c r="H96" s="11">
        <f>GetHumRatioFromRelHum($A96,H$4,$E$1)*1000</f>
        <v>24.480850142479312</v>
      </c>
      <c r="I96" s="11">
        <f>GetHumRatioFromRelHum($A96,I$4,$E$1)*1000</f>
        <v>18.181721465349572</v>
      </c>
      <c r="J96" s="11">
        <f>GetHumRatioFromRelHum($A96,J$4,$E$1)*1000</f>
        <v>12.004172391815809</v>
      </c>
      <c r="K96" s="11">
        <f>GetHumRatioFromRelHum($A96,K$4,$E$1)*1000</f>
        <v>5.9447166507741773</v>
      </c>
      <c r="L96" s="11">
        <f>IF(GetHumRatioFromEnthalpyAndTDryBulb(L$4*1000,$A96)*1000&lt;=$B96+$J$1,GetHumRatioFromEnthalpyAndTDryBulb(L$4*1000,$A96)*1000)</f>
        <v>-13.645684218671414</v>
      </c>
      <c r="M96" s="11">
        <f>IF(GetHumRatioFromEnthalpyAndTDryBulb(M$4*1000,$A96)*1000&lt;=$B96+$J$1,GetHumRatioFromEnthalpyAndTDryBulb(M$4*1000,$A96)*1000)</f>
        <v>-5.9078423027817566</v>
      </c>
      <c r="N96" s="11">
        <f>IF(GetHumRatioFromEnthalpyAndTDryBulb(N$4*1000,$A96)*1000&lt;=$B96+$J$1,GetHumRatioFromEnthalpyAndTDryBulb(N$4*1000,$A96)*1000)</f>
        <v>1.829999613107903</v>
      </c>
      <c r="O96" s="11">
        <f>IF(GetHumRatioFromEnthalpyAndTDryBulb(O$4*1000,$A96)*1000&lt;=$B96+$J$1,GetHumRatioFromEnthalpyAndTDryBulb(O$4*1000,$A96)*1000)</f>
        <v>9.5678415289975618</v>
      </c>
      <c r="P96" s="11">
        <f>IF(GetHumRatioFromEnthalpyAndTDryBulb(P$4*1000,$A96)*1000&lt;=$B96+$J$1,GetHumRatioFromEnthalpyAndTDryBulb(P$4*1000,$A96)*1000)</f>
        <v>17.305683444887219</v>
      </c>
      <c r="Q96" s="11">
        <f>IF(GetHumRatioFromEnthalpyAndTDryBulb(Q$4*1000,$A96)*1000&lt;=$B96+$J$1,GetHumRatioFromEnthalpyAndTDryBulb(Q$4*1000,$A96)*1000)</f>
        <v>25.043525360776879</v>
      </c>
      <c r="R96" s="13">
        <f t="shared" si="10"/>
        <v>9.9999999999999991E-5</v>
      </c>
      <c r="S96" s="13">
        <f t="shared" si="10"/>
        <v>9.9999999999999991E-5</v>
      </c>
      <c r="T96" s="13">
        <f t="shared" si="10"/>
        <v>9.9999999999999991E-5</v>
      </c>
      <c r="U96" s="13">
        <f t="shared" si="10"/>
        <v>4.3657727664147616</v>
      </c>
      <c r="V96" s="13">
        <f t="shared" si="10"/>
        <v>11.667172317415309</v>
      </c>
      <c r="W96" s="13">
        <f t="shared" si="10"/>
        <v>20.757599248993831</v>
      </c>
      <c r="X96" s="13">
        <f t="shared" si="10"/>
        <v>32.170695774369641</v>
      </c>
      <c r="Y96" s="11">
        <f>IF(GetHumRatioFromVapPres(Y$4*1000,$E$1)&lt;GetSatHumRatio($A96,$E$1)+$J$1/1000,GetHumRatioFromVapPres(Y$4*1000,$E$1)*1000)</f>
        <v>6.199302267630201</v>
      </c>
      <c r="Z96" s="11">
        <f>IF(GetHumRatioFromVapPres(Z$4*1000,$E$1)&lt;GetSatHumRatio($A96,$E$1)+$J$1/1000,GetHumRatioFromVapPres(Z$4*1000,$E$1)*1000)</f>
        <v>12.523433173923985</v>
      </c>
      <c r="AA96" s="11">
        <f>IF(GetHumRatioFromVapPres(AA$4*1000,$E$1)&lt;GetSatHumRatio($A96,$E$1)+$J$1/1000,GetHumRatioFromVapPres(AA$4*1000,$E$1)*1000)</f>
        <v>18.976201372997711</v>
      </c>
      <c r="AB96" s="11">
        <f>IF(GetHumRatioFromVapPres(AB$4*1000,$E$1)&lt;GetSatHumRatio($A96,$E$1)+$J$1/1000,GetHumRatioFromVapPres(AB$4*1000,$E$1)*1000)</f>
        <v>25.561572052401743</v>
      </c>
      <c r="AC96" s="11">
        <f>IF(GetHumRatioFromVapPres(AC$4*1000,$E$1)&lt;GetSatHumRatio($A96,$E$1)+$J$1/1000,GetHumRatioFromVapPres(AC$4*1000,$E$1)*1000)</f>
        <v>32.283675058396057</v>
      </c>
    </row>
    <row r="97" spans="5:5" x14ac:dyDescent="0.25">
      <c r="E97" s="4"/>
    </row>
    <row r="98" spans="5:5" x14ac:dyDescent="0.25">
      <c r="E98" s="4"/>
    </row>
    <row r="99" spans="5:5" x14ac:dyDescent="0.25">
      <c r="E99" s="4"/>
    </row>
  </sheetData>
  <mergeCells count="4">
    <mergeCell ref="Y3:AC3"/>
    <mergeCell ref="B3:K3"/>
    <mergeCell ref="L3:Q3"/>
    <mergeCell ref="R3:X3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Info</vt:lpstr>
      <vt:lpstr>Psychrometrics</vt:lpstr>
      <vt:lpstr>Psychrometric Chart</vt:lpstr>
    </vt:vector>
  </TitlesOfParts>
  <Company>Universidade de Aveiro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Aniceto</dc:creator>
  <cp:lastModifiedBy>José Aniceto</cp:lastModifiedBy>
  <dcterms:created xsi:type="dcterms:W3CDTF">2019-10-28T15:52:14Z</dcterms:created>
  <dcterms:modified xsi:type="dcterms:W3CDTF">2019-10-31T16:51:46Z</dcterms:modified>
</cp:coreProperties>
</file>